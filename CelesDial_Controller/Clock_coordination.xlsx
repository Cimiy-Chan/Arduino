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iy20181027\HomeProjects\Arduino_IDE\CelesDial_Controller\"/>
    </mc:Choice>
  </mc:AlternateContent>
  <xr:revisionPtr revIDLastSave="0" documentId="13_ncr:1_{FE75C30B-B8F3-4DE2-AC18-B9556F4AE650}" xr6:coauthVersionLast="47" xr6:coauthVersionMax="47" xr10:uidLastSave="{00000000-0000-0000-0000-000000000000}"/>
  <bookViews>
    <workbookView xWindow="-108" yWindow="-108" windowWidth="23256" windowHeight="12456" xr2:uid="{194FA3E6-F6FF-4A99-B35F-3BCDE1616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3" i="1" l="1"/>
  <c r="Q63" i="1"/>
  <c r="R62" i="1"/>
  <c r="Q62" i="1"/>
  <c r="R61" i="1"/>
  <c r="Q61" i="1"/>
  <c r="R60" i="1"/>
  <c r="Q60" i="1"/>
  <c r="R59" i="1"/>
  <c r="Q59" i="1"/>
  <c r="R58" i="1"/>
  <c r="Q58" i="1"/>
  <c r="R57" i="1"/>
  <c r="Q57" i="1"/>
  <c r="R56" i="1"/>
  <c r="Q56" i="1"/>
  <c r="R55" i="1"/>
  <c r="Q55" i="1"/>
  <c r="R54" i="1"/>
  <c r="Q54" i="1"/>
  <c r="R53" i="1"/>
  <c r="Q53" i="1"/>
  <c r="R52" i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R42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R4" i="1"/>
  <c r="Q4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A5" i="1"/>
  <c r="B5" i="1" s="1"/>
  <c r="C5" i="1" s="1"/>
  <c r="E5" i="1" s="1"/>
  <c r="C4" i="1"/>
  <c r="E4" i="1" s="1"/>
  <c r="D4" i="1" l="1"/>
  <c r="D5" i="1"/>
  <c r="A6" i="1"/>
  <c r="A7" i="1" s="1"/>
  <c r="B7" i="1" s="1"/>
  <c r="C7" i="1" s="1"/>
  <c r="E7" i="1" l="1"/>
  <c r="D7" i="1"/>
  <c r="A8" i="1"/>
  <c r="B8" i="1" s="1"/>
  <c r="C8" i="1" s="1"/>
  <c r="B6" i="1"/>
  <c r="C6" i="1" s="1"/>
  <c r="D8" i="1" l="1"/>
  <c r="E8" i="1"/>
  <c r="A9" i="1"/>
  <c r="E6" i="1"/>
  <c r="D6" i="1"/>
  <c r="B9" i="1"/>
  <c r="C9" i="1" s="1"/>
  <c r="A10" i="1"/>
  <c r="E9" i="1" l="1"/>
  <c r="D9" i="1"/>
  <c r="A11" i="1"/>
  <c r="B10" i="1"/>
  <c r="C10" i="1" s="1"/>
  <c r="E10" i="1" l="1"/>
  <c r="D10" i="1"/>
  <c r="A12" i="1"/>
  <c r="B11" i="1"/>
  <c r="C11" i="1" s="1"/>
  <c r="E11" i="1" l="1"/>
  <c r="D11" i="1"/>
  <c r="A13" i="1"/>
  <c r="B12" i="1"/>
  <c r="C12" i="1" s="1"/>
  <c r="D12" i="1" l="1"/>
  <c r="E12" i="1"/>
  <c r="A14" i="1"/>
  <c r="B13" i="1"/>
  <c r="C13" i="1" s="1"/>
  <c r="E13" i="1" l="1"/>
  <c r="D13" i="1"/>
  <c r="A15" i="1"/>
  <c r="B14" i="1"/>
  <c r="C14" i="1" s="1"/>
  <c r="E14" i="1" l="1"/>
  <c r="D14" i="1"/>
  <c r="A16" i="1"/>
  <c r="B15" i="1"/>
  <c r="C15" i="1" s="1"/>
  <c r="E15" i="1" l="1"/>
  <c r="D15" i="1"/>
  <c r="B16" i="1"/>
  <c r="C16" i="1" s="1"/>
  <c r="A17" i="1"/>
  <c r="E16" i="1" l="1"/>
  <c r="D16" i="1"/>
  <c r="B17" i="1"/>
  <c r="C17" i="1" s="1"/>
  <c r="A18" i="1"/>
  <c r="E17" i="1" l="1"/>
  <c r="D17" i="1"/>
  <c r="B18" i="1"/>
  <c r="C18" i="1" s="1"/>
  <c r="A19" i="1"/>
  <c r="E18" i="1" l="1"/>
  <c r="D18" i="1"/>
  <c r="B19" i="1"/>
  <c r="C19" i="1" s="1"/>
  <c r="A20" i="1"/>
  <c r="E19" i="1" l="1"/>
  <c r="D19" i="1"/>
  <c r="A21" i="1"/>
  <c r="B20" i="1"/>
  <c r="C20" i="1" s="1"/>
  <c r="D20" i="1" l="1"/>
  <c r="E20" i="1"/>
  <c r="A22" i="1"/>
  <c r="B21" i="1"/>
  <c r="C21" i="1" s="1"/>
  <c r="E21" i="1" l="1"/>
  <c r="D21" i="1"/>
  <c r="A23" i="1"/>
  <c r="B22" i="1"/>
  <c r="C22" i="1" s="1"/>
  <c r="E22" i="1" l="1"/>
  <c r="D22" i="1"/>
  <c r="A24" i="1"/>
  <c r="B23" i="1"/>
  <c r="C23" i="1" s="1"/>
  <c r="E23" i="1" l="1"/>
  <c r="D23" i="1"/>
  <c r="B24" i="1"/>
  <c r="C24" i="1" s="1"/>
  <c r="A25" i="1"/>
  <c r="D24" i="1" l="1"/>
  <c r="E24" i="1"/>
  <c r="B25" i="1"/>
  <c r="C25" i="1" s="1"/>
  <c r="A26" i="1"/>
  <c r="E25" i="1" l="1"/>
  <c r="D25" i="1"/>
  <c r="B26" i="1"/>
  <c r="C26" i="1" s="1"/>
  <c r="A27" i="1"/>
  <c r="E26" i="1" l="1"/>
  <c r="D26" i="1"/>
  <c r="A28" i="1"/>
  <c r="B27" i="1"/>
  <c r="C27" i="1" s="1"/>
  <c r="E27" i="1" l="1"/>
  <c r="D27" i="1"/>
  <c r="A29" i="1"/>
  <c r="B28" i="1"/>
  <c r="C28" i="1" s="1"/>
  <c r="E28" i="1" l="1"/>
  <c r="D28" i="1"/>
  <c r="A30" i="1"/>
  <c r="B29" i="1"/>
  <c r="C29" i="1" s="1"/>
  <c r="E29" i="1" l="1"/>
  <c r="D29" i="1"/>
  <c r="A31" i="1"/>
  <c r="B30" i="1"/>
  <c r="C30" i="1" s="1"/>
  <c r="E30" i="1" l="1"/>
  <c r="D30" i="1"/>
  <c r="A32" i="1"/>
  <c r="B31" i="1"/>
  <c r="C31" i="1" s="1"/>
  <c r="E31" i="1" l="1"/>
  <c r="D31" i="1"/>
  <c r="A33" i="1"/>
  <c r="B32" i="1"/>
  <c r="C32" i="1" s="1"/>
  <c r="D32" i="1" l="1"/>
  <c r="E32" i="1"/>
  <c r="A34" i="1"/>
  <c r="B33" i="1"/>
  <c r="C33" i="1" s="1"/>
  <c r="E33" i="1" l="1"/>
  <c r="D33" i="1"/>
  <c r="A35" i="1"/>
  <c r="B34" i="1"/>
  <c r="C34" i="1" s="1"/>
  <c r="E34" i="1" l="1"/>
  <c r="D34" i="1"/>
  <c r="A36" i="1"/>
  <c r="B35" i="1"/>
  <c r="C35" i="1" s="1"/>
  <c r="E35" i="1" l="1"/>
  <c r="D35" i="1"/>
  <c r="A37" i="1"/>
  <c r="B36" i="1"/>
  <c r="C36" i="1" s="1"/>
  <c r="D36" i="1" l="1"/>
  <c r="E36" i="1"/>
  <c r="A38" i="1"/>
  <c r="B37" i="1"/>
  <c r="C37" i="1" s="1"/>
  <c r="E37" i="1" l="1"/>
  <c r="D37" i="1"/>
  <c r="A39" i="1"/>
  <c r="B38" i="1"/>
  <c r="C38" i="1" s="1"/>
  <c r="E38" i="1" l="1"/>
  <c r="D38" i="1"/>
  <c r="A40" i="1"/>
  <c r="B39" i="1"/>
  <c r="C39" i="1" s="1"/>
  <c r="E39" i="1" l="1"/>
  <c r="D39" i="1"/>
  <c r="A41" i="1"/>
  <c r="B40" i="1"/>
  <c r="C40" i="1" s="1"/>
  <c r="D40" i="1" l="1"/>
  <c r="E40" i="1"/>
  <c r="A42" i="1"/>
  <c r="B41" i="1"/>
  <c r="C41" i="1" s="1"/>
  <c r="E41" i="1" l="1"/>
  <c r="D41" i="1"/>
  <c r="A43" i="1"/>
  <c r="B42" i="1"/>
  <c r="C42" i="1" s="1"/>
  <c r="E42" i="1" l="1"/>
  <c r="D42" i="1"/>
  <c r="A44" i="1"/>
  <c r="B43" i="1"/>
  <c r="C43" i="1" s="1"/>
  <c r="E43" i="1" l="1"/>
  <c r="D43" i="1"/>
  <c r="A45" i="1"/>
  <c r="B44" i="1"/>
  <c r="C44" i="1" s="1"/>
  <c r="D44" i="1" l="1"/>
  <c r="E44" i="1"/>
  <c r="A46" i="1"/>
  <c r="B45" i="1"/>
  <c r="C45" i="1" s="1"/>
  <c r="E45" i="1" l="1"/>
  <c r="D45" i="1"/>
  <c r="A47" i="1"/>
  <c r="B46" i="1"/>
  <c r="C46" i="1" s="1"/>
  <c r="E46" i="1" l="1"/>
  <c r="D46" i="1"/>
  <c r="A48" i="1"/>
  <c r="B47" i="1"/>
  <c r="C47" i="1" s="1"/>
  <c r="E47" i="1" l="1"/>
  <c r="D47" i="1"/>
  <c r="A49" i="1"/>
  <c r="B48" i="1"/>
  <c r="C48" i="1" s="1"/>
  <c r="D48" i="1" l="1"/>
  <c r="E48" i="1"/>
  <c r="A50" i="1"/>
  <c r="B49" i="1"/>
  <c r="C49" i="1" s="1"/>
  <c r="E49" i="1" l="1"/>
  <c r="D49" i="1"/>
  <c r="A51" i="1"/>
  <c r="B50" i="1"/>
  <c r="C50" i="1" s="1"/>
  <c r="E50" i="1" l="1"/>
  <c r="D50" i="1"/>
  <c r="A52" i="1"/>
  <c r="B51" i="1"/>
  <c r="C51" i="1" s="1"/>
  <c r="E51" i="1" l="1"/>
  <c r="D51" i="1"/>
  <c r="A53" i="1"/>
  <c r="B52" i="1"/>
  <c r="C52" i="1" s="1"/>
  <c r="E52" i="1" l="1"/>
  <c r="D52" i="1"/>
  <c r="A54" i="1"/>
  <c r="B53" i="1"/>
  <c r="C53" i="1" s="1"/>
  <c r="E53" i="1" l="1"/>
  <c r="D53" i="1"/>
  <c r="A55" i="1"/>
  <c r="B54" i="1"/>
  <c r="C54" i="1" s="1"/>
  <c r="E54" i="1" l="1"/>
  <c r="D54" i="1"/>
  <c r="A56" i="1"/>
  <c r="B55" i="1"/>
  <c r="C55" i="1" s="1"/>
  <c r="E55" i="1" l="1"/>
  <c r="D55" i="1"/>
  <c r="A57" i="1"/>
  <c r="B56" i="1"/>
  <c r="C56" i="1" s="1"/>
  <c r="D56" i="1" l="1"/>
  <c r="E56" i="1"/>
  <c r="A58" i="1"/>
  <c r="B57" i="1"/>
  <c r="C57" i="1" s="1"/>
  <c r="E57" i="1" l="1"/>
  <c r="D57" i="1"/>
  <c r="A59" i="1"/>
  <c r="B58" i="1"/>
  <c r="C58" i="1" s="1"/>
  <c r="E58" i="1" l="1"/>
  <c r="D58" i="1"/>
  <c r="A60" i="1"/>
  <c r="B59" i="1"/>
  <c r="C59" i="1" s="1"/>
  <c r="E59" i="1" l="1"/>
  <c r="D59" i="1"/>
  <c r="A61" i="1"/>
  <c r="B60" i="1"/>
  <c r="C60" i="1" s="1"/>
  <c r="E60" i="1" l="1"/>
  <c r="D60" i="1"/>
  <c r="A62" i="1"/>
  <c r="B61" i="1"/>
  <c r="C61" i="1" s="1"/>
  <c r="E61" i="1" l="1"/>
  <c r="D61" i="1"/>
  <c r="A63" i="1"/>
  <c r="B63" i="1" s="1"/>
  <c r="C63" i="1" s="1"/>
  <c r="B62" i="1"/>
  <c r="C62" i="1" s="1"/>
  <c r="E62" i="1" l="1"/>
  <c r="D62" i="1"/>
  <c r="E63" i="1"/>
  <c r="D63" i="1"/>
</calcChain>
</file>

<file path=xl/sharedStrings.xml><?xml version="1.0" encoding="utf-8"?>
<sst xmlns="http://schemas.openxmlformats.org/spreadsheetml/2006/main" count="30" uniqueCount="8">
  <si>
    <t>X</t>
  </si>
  <si>
    <t>Y</t>
  </si>
  <si>
    <t>Point</t>
  </si>
  <si>
    <t>Angle</t>
  </si>
  <si>
    <t>Rad</t>
  </si>
  <si>
    <t>Sec</t>
  </si>
  <si>
    <t>Min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</si>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</sst>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938E-DF43-4F4E-AD09-62CA140E88CC}">
  <dimension ref="A2:CF63"/>
  <sheetViews>
    <sheetView tabSelected="1" workbookViewId="0">
      <selection activeCell="V5" sqref="V5"/>
    </sheetView>
  </sheetViews>
  <sheetFormatPr defaultRowHeight="14.4" x14ac:dyDescent="0.3"/>
  <cols>
    <col min="7" max="7" width="8.88671875" style="3"/>
    <col min="8" max="9" width="8.88671875" style="3" hidden="1" customWidth="1"/>
    <col min="10" max="11" width="8.88671875" style="3"/>
  </cols>
  <sheetData>
    <row r="2" spans="1:84" x14ac:dyDescent="0.3">
      <c r="B2">
        <v>100</v>
      </c>
      <c r="D2">
        <v>120</v>
      </c>
      <c r="E2">
        <v>20</v>
      </c>
      <c r="G2" s="3" t="s">
        <v>6</v>
      </c>
      <c r="M2" t="s">
        <v>7</v>
      </c>
      <c r="T2" t="s">
        <v>7</v>
      </c>
    </row>
    <row r="3" spans="1:84" x14ac:dyDescent="0.3">
      <c r="A3" s="1" t="s">
        <v>2</v>
      </c>
      <c r="B3" s="1" t="s">
        <v>3</v>
      </c>
      <c r="C3" s="1" t="s">
        <v>4</v>
      </c>
      <c r="D3" s="1" t="s">
        <v>0</v>
      </c>
      <c r="E3" s="1" t="s">
        <v>1</v>
      </c>
      <c r="G3" s="4" t="s">
        <v>5</v>
      </c>
      <c r="H3" s="4" t="s">
        <v>0</v>
      </c>
      <c r="I3" s="4" t="s">
        <v>1</v>
      </c>
      <c r="J3" s="4" t="s">
        <v>0</v>
      </c>
      <c r="K3" s="4" t="s">
        <v>1</v>
      </c>
      <c r="M3" s="6" t="s">
        <v>0</v>
      </c>
      <c r="N3" s="6" t="s">
        <v>1</v>
      </c>
      <c r="O3" s="6" t="s">
        <v>0</v>
      </c>
      <c r="P3" s="6" t="s">
        <v>1</v>
      </c>
      <c r="Q3" s="6" t="s">
        <v>0</v>
      </c>
      <c r="R3" s="6" t="s">
        <v>1</v>
      </c>
      <c r="T3" s="3" t="s">
        <v>5</v>
      </c>
      <c r="U3" s="3" t="s">
        <v>0</v>
      </c>
      <c r="V3" s="3" t="s">
        <v>1</v>
      </c>
      <c r="X3" s="4" t="s">
        <v>5</v>
      </c>
      <c r="Y3" s="5">
        <v>0</v>
      </c>
      <c r="Z3" s="4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4">
        <v>7</v>
      </c>
      <c r="AG3" s="4">
        <v>8</v>
      </c>
      <c r="AH3" s="4">
        <v>9</v>
      </c>
      <c r="AI3" s="4">
        <v>10</v>
      </c>
      <c r="AJ3" s="4">
        <v>11</v>
      </c>
      <c r="AK3" s="4">
        <v>12</v>
      </c>
      <c r="AL3" s="4">
        <v>13</v>
      </c>
      <c r="AM3" s="4">
        <v>14</v>
      </c>
      <c r="AN3" s="5">
        <v>15</v>
      </c>
      <c r="AO3" s="4">
        <v>16</v>
      </c>
      <c r="AP3" s="4">
        <v>17</v>
      </c>
      <c r="AQ3" s="4">
        <v>18</v>
      </c>
      <c r="AR3" s="4">
        <v>19</v>
      </c>
      <c r="AS3" s="4">
        <v>20</v>
      </c>
      <c r="AT3" s="4">
        <v>21</v>
      </c>
      <c r="AU3" s="4">
        <v>22</v>
      </c>
      <c r="AV3" s="4">
        <v>23</v>
      </c>
      <c r="AW3" s="4">
        <v>24</v>
      </c>
      <c r="AX3" s="4">
        <v>25</v>
      </c>
      <c r="AY3" s="4">
        <v>26</v>
      </c>
      <c r="AZ3" s="4">
        <v>27</v>
      </c>
      <c r="BA3" s="4">
        <v>28</v>
      </c>
      <c r="BB3" s="4">
        <v>29</v>
      </c>
      <c r="BC3" s="5">
        <v>30</v>
      </c>
      <c r="BD3" s="4">
        <v>31</v>
      </c>
      <c r="BE3" s="4">
        <v>32</v>
      </c>
      <c r="BF3" s="4">
        <v>33</v>
      </c>
      <c r="BG3" s="4">
        <v>34</v>
      </c>
      <c r="BH3" s="4">
        <v>35</v>
      </c>
      <c r="BI3" s="4">
        <v>36</v>
      </c>
      <c r="BJ3" s="4">
        <v>37</v>
      </c>
      <c r="BK3" s="4">
        <v>38</v>
      </c>
      <c r="BL3" s="4">
        <v>39</v>
      </c>
      <c r="BM3" s="4">
        <v>40</v>
      </c>
      <c r="BN3" s="4">
        <v>41</v>
      </c>
      <c r="BO3" s="4">
        <v>42</v>
      </c>
      <c r="BP3" s="4">
        <v>43</v>
      </c>
      <c r="BQ3" s="4">
        <v>44</v>
      </c>
      <c r="BR3" s="5">
        <v>45</v>
      </c>
      <c r="BS3" s="4">
        <v>46</v>
      </c>
      <c r="BT3" s="4">
        <v>47</v>
      </c>
      <c r="BU3" s="4">
        <v>48</v>
      </c>
      <c r="BV3" s="4">
        <v>49</v>
      </c>
      <c r="BW3" s="4">
        <v>50</v>
      </c>
      <c r="BX3" s="4">
        <v>51</v>
      </c>
      <c r="BY3" s="4">
        <v>52</v>
      </c>
      <c r="BZ3" s="4">
        <v>53</v>
      </c>
      <c r="CA3" s="4">
        <v>54</v>
      </c>
      <c r="CB3" s="4">
        <v>55</v>
      </c>
      <c r="CC3" s="4">
        <v>56</v>
      </c>
      <c r="CD3" s="4">
        <v>57</v>
      </c>
      <c r="CE3" s="4">
        <v>58</v>
      </c>
      <c r="CF3" s="4">
        <v>59</v>
      </c>
    </row>
    <row r="4" spans="1:84" x14ac:dyDescent="0.3">
      <c r="A4" s="2">
        <v>0</v>
      </c>
      <c r="B4" s="2">
        <v>0</v>
      </c>
      <c r="C4" s="2">
        <f>B4*3.1415926/180</f>
        <v>0</v>
      </c>
      <c r="D4" s="2">
        <f>120+90*SIN(C4)</f>
        <v>120</v>
      </c>
      <c r="E4" s="2">
        <f>120-90*COS(C4)</f>
        <v>30</v>
      </c>
      <c r="G4" s="5">
        <v>0</v>
      </c>
      <c r="H4" s="5">
        <v>120</v>
      </c>
      <c r="I4" s="5">
        <v>20</v>
      </c>
      <c r="J4" s="5">
        <f t="shared" ref="J4:J35" si="0">INT(H4)</f>
        <v>120</v>
      </c>
      <c r="K4" s="5">
        <f t="shared" ref="K4:K35" si="1">INT(I4)</f>
        <v>20</v>
      </c>
      <c r="M4">
        <v>120</v>
      </c>
      <c r="N4">
        <v>30</v>
      </c>
      <c r="O4">
        <f>M4+0.5</f>
        <v>120.5</v>
      </c>
      <c r="P4">
        <f>N4+0.5</f>
        <v>30.5</v>
      </c>
      <c r="Q4" s="7">
        <f>INT(O4)</f>
        <v>120</v>
      </c>
      <c r="R4" s="7">
        <f>INT(P4)</f>
        <v>30</v>
      </c>
      <c r="T4">
        <v>0</v>
      </c>
      <c r="U4">
        <v>120</v>
      </c>
      <c r="V4">
        <v>20</v>
      </c>
      <c r="X4" s="4" t="s">
        <v>0</v>
      </c>
      <c r="Y4" s="5">
        <v>120</v>
      </c>
      <c r="Z4" s="4">
        <v>130.45284614911128</v>
      </c>
      <c r="AA4" s="4">
        <v>140.79116873231774</v>
      </c>
      <c r="AB4" s="4">
        <v>150.90169892782552</v>
      </c>
      <c r="AC4" s="4">
        <v>160.67366365482386</v>
      </c>
      <c r="AD4" s="4">
        <v>169.99999922649795</v>
      </c>
      <c r="AE4" s="4">
        <v>178.77852436214624</v>
      </c>
      <c r="AF4" s="4">
        <v>186.91305970663635</v>
      </c>
      <c r="AG4" s="4">
        <v>194.31448159151086</v>
      </c>
      <c r="AH4" s="4">
        <v>200.90169849251603</v>
      </c>
      <c r="AI4" s="4">
        <v>206.60253948528063</v>
      </c>
      <c r="AJ4" s="4">
        <v>211.35454496503922</v>
      </c>
      <c r="AK4" s="4">
        <v>215.10565096710906</v>
      </c>
      <c r="AL4" s="4">
        <v>217.81475959056294</v>
      </c>
      <c r="AM4" s="4">
        <v>219.45218927541657</v>
      </c>
      <c r="AN4" s="5">
        <v>219.99999999999997</v>
      </c>
      <c r="AO4" s="4">
        <v>219.45218983558243</v>
      </c>
      <c r="AP4" s="4">
        <v>217.81476070475736</v>
      </c>
      <c r="AQ4" s="4">
        <v>215.10565262312474</v>
      </c>
      <c r="AR4" s="4">
        <v>211.35454714473244</v>
      </c>
      <c r="AS4" s="4">
        <v>206.60254216477028</v>
      </c>
      <c r="AT4" s="4">
        <v>200.901701642445</v>
      </c>
      <c r="AU4" s="4">
        <v>194.31448517736789</v>
      </c>
      <c r="AV4" s="4">
        <v>186.91306368913405</v>
      </c>
      <c r="AW4" s="4">
        <v>178.77852869765152</v>
      </c>
      <c r="AX4" s="4">
        <v>170.00000386751012</v>
      </c>
      <c r="AY4" s="4">
        <v>160.67366855049505</v>
      </c>
      <c r="AZ4" s="4">
        <v>150.90170402451767</v>
      </c>
      <c r="BA4" s="4">
        <v>140.79117397419049</v>
      </c>
      <c r="BB4" s="4">
        <v>130.45285147873358</v>
      </c>
      <c r="BC4" s="5">
        <v>120.00000535897932</v>
      </c>
      <c r="BD4" s="4">
        <v>109.54715918051102</v>
      </c>
      <c r="BE4" s="4">
        <v>99.208836509555013</v>
      </c>
      <c r="BF4" s="4">
        <v>89.098306168866742</v>
      </c>
      <c r="BG4" s="4">
        <v>79.326341240847398</v>
      </c>
      <c r="BH4" s="4">
        <v>70.000005414514348</v>
      </c>
      <c r="BI4" s="4">
        <v>61.221479973359244</v>
      </c>
      <c r="BJ4" s="4">
        <v>53.086944275861555</v>
      </c>
      <c r="BK4" s="4">
        <v>45.685521994346388</v>
      </c>
      <c r="BL4" s="4">
        <v>39.098304657413166</v>
      </c>
      <c r="BM4" s="4">
        <v>33.397463194209266</v>
      </c>
      <c r="BN4" s="4">
        <v>28.645457214654286</v>
      </c>
      <c r="BO4" s="4">
        <v>24.894350688906854</v>
      </c>
      <c r="BP4" s="4">
        <v>22.18524152363176</v>
      </c>
      <c r="BQ4" s="4">
        <v>20.547811284749585</v>
      </c>
      <c r="BR4" s="5">
        <v>20.000000000000327</v>
      </c>
      <c r="BS4" s="4">
        <v>20.547809604251995</v>
      </c>
      <c r="BT4" s="4">
        <v>22.185238181048476</v>
      </c>
      <c r="BU4" s="4">
        <v>24.894345720859889</v>
      </c>
      <c r="BV4" s="4">
        <v>28.645450675574622</v>
      </c>
      <c r="BW4" s="4">
        <v>33.397455155740417</v>
      </c>
      <c r="BX4" s="4">
        <v>39.098295207626279</v>
      </c>
      <c r="BY4" s="4">
        <v>45.685511236775255</v>
      </c>
      <c r="BZ4" s="4">
        <v>53.086932328368462</v>
      </c>
      <c r="CA4" s="4">
        <v>61.22146696684338</v>
      </c>
      <c r="CB4" s="4">
        <v>69.999991491477886</v>
      </c>
      <c r="CC4" s="4">
        <v>79.326326553833951</v>
      </c>
      <c r="CD4" s="4">
        <v>89.098290878790209</v>
      </c>
      <c r="CE4" s="4">
        <v>99.208820783936773</v>
      </c>
      <c r="CF4" s="4">
        <v>109.54714319164421</v>
      </c>
    </row>
    <row r="5" spans="1:84" x14ac:dyDescent="0.3">
      <c r="A5" s="1">
        <f>A4+1</f>
        <v>1</v>
      </c>
      <c r="B5" s="1">
        <f>6*A5</f>
        <v>6</v>
      </c>
      <c r="C5" s="1">
        <f t="shared" ref="C5:C63" si="2">B5*3.1415926/180</f>
        <v>0.10471975333333335</v>
      </c>
      <c r="D5" s="1">
        <f t="shared" ref="D5:D63" si="3">120+90*SIN(C5)</f>
        <v>129.40756153420014</v>
      </c>
      <c r="E5" s="2">
        <f t="shared" ref="E5:E63" si="4">120-90*COS(C5)</f>
        <v>30.493029400050432</v>
      </c>
      <c r="G5" s="4">
        <v>1</v>
      </c>
      <c r="H5" s="4">
        <v>130.45284614911128</v>
      </c>
      <c r="I5" s="4">
        <v>20.54781044450047</v>
      </c>
      <c r="J5" s="4">
        <f t="shared" si="0"/>
        <v>130</v>
      </c>
      <c r="K5" s="4">
        <f t="shared" si="1"/>
        <v>20</v>
      </c>
      <c r="M5">
        <v>129.40756153420014</v>
      </c>
      <c r="N5">
        <v>30.493029400050432</v>
      </c>
      <c r="O5">
        <f t="shared" ref="O5:O63" si="5">M5+0.5</f>
        <v>129.90756153420014</v>
      </c>
      <c r="P5">
        <f t="shared" ref="P5:P63" si="6">N5+0.5</f>
        <v>30.993029400050432</v>
      </c>
      <c r="Q5">
        <f t="shared" ref="Q5:Q63" si="7">INT(O5)</f>
        <v>129</v>
      </c>
      <c r="R5">
        <f t="shared" ref="R5:R63" si="8">INT(P5)</f>
        <v>30</v>
      </c>
      <c r="T5">
        <v>5</v>
      </c>
      <c r="U5">
        <v>169</v>
      </c>
      <c r="V5">
        <v>33</v>
      </c>
      <c r="X5" s="4" t="s">
        <v>1</v>
      </c>
      <c r="Y5" s="5">
        <v>20</v>
      </c>
      <c r="Z5" s="4">
        <v>20.54781044450047</v>
      </c>
      <c r="AA5" s="4">
        <v>22.185239852339805</v>
      </c>
      <c r="AB5" s="4">
        <v>24.894348204883087</v>
      </c>
      <c r="AC5" s="4">
        <v>28.645453945114141</v>
      </c>
      <c r="AD5" s="4">
        <v>33.397459174974529</v>
      </c>
      <c r="AE5" s="4">
        <v>39.098299932519453</v>
      </c>
      <c r="AF5" s="4">
        <v>45.685516615560601</v>
      </c>
      <c r="AG5" s="4">
        <v>53.086938302114788</v>
      </c>
      <c r="AH5" s="4">
        <v>61.221473470101088</v>
      </c>
      <c r="AI5" s="4">
        <v>69.999998452995925</v>
      </c>
      <c r="AJ5" s="4">
        <v>79.326333897340547</v>
      </c>
      <c r="AK5" s="4">
        <v>89.09829852382839</v>
      </c>
      <c r="AL5" s="4">
        <v>99.208828646745872</v>
      </c>
      <c r="AM5" s="4">
        <v>109.5471511860776</v>
      </c>
      <c r="AN5" s="5">
        <v>119.99999732051035</v>
      </c>
      <c r="AO5" s="4">
        <v>130.45284348430016</v>
      </c>
      <c r="AP5" s="4">
        <v>140.79116611138136</v>
      </c>
      <c r="AQ5" s="4">
        <v>150.90169637947938</v>
      </c>
      <c r="AR5" s="4">
        <v>160.67366120698824</v>
      </c>
      <c r="AS5" s="4">
        <v>169.99999690599179</v>
      </c>
      <c r="AT5" s="4">
        <v>178.77852219439353</v>
      </c>
      <c r="AU5" s="4">
        <v>186.91305771538742</v>
      </c>
      <c r="AV5" s="4">
        <v>194.31447979858228</v>
      </c>
      <c r="AW5" s="4">
        <v>200.90169691755148</v>
      </c>
      <c r="AX5" s="4">
        <v>206.60253814553573</v>
      </c>
      <c r="AY5" s="4">
        <v>211.35454387519249</v>
      </c>
      <c r="AZ5" s="4">
        <v>215.10565013910116</v>
      </c>
      <c r="BA5" s="4">
        <v>217.81475903346563</v>
      </c>
      <c r="BB5" s="4">
        <v>219.45218899533353</v>
      </c>
      <c r="BC5" s="5">
        <v>219.99999999999986</v>
      </c>
      <c r="BD5" s="4">
        <v>219.45219011566525</v>
      </c>
      <c r="BE5" s="4">
        <v>217.81476126185447</v>
      </c>
      <c r="BF5" s="4">
        <v>215.10565345113244</v>
      </c>
      <c r="BG5" s="4">
        <v>211.35454823457894</v>
      </c>
      <c r="BH5" s="4">
        <v>206.60254350451495</v>
      </c>
      <c r="BI5" s="4">
        <v>200.90170321740942</v>
      </c>
      <c r="BJ5" s="4">
        <v>194.31448697029634</v>
      </c>
      <c r="BK5" s="4">
        <v>186.91306568038283</v>
      </c>
      <c r="BL5" s="4">
        <v>178.77853086540412</v>
      </c>
      <c r="BM5" s="4">
        <v>170.00000618801621</v>
      </c>
      <c r="BN5" s="4">
        <v>160.67367099833058</v>
      </c>
      <c r="BO5" s="4">
        <v>150.90170657286373</v>
      </c>
      <c r="BP5" s="4">
        <v>140.79117659512679</v>
      </c>
      <c r="BQ5" s="4">
        <v>130.45285414354464</v>
      </c>
      <c r="BR5" s="5">
        <v>120.00000803846902</v>
      </c>
      <c r="BS5" s="4">
        <v>109.54716184532217</v>
      </c>
      <c r="BT5" s="4">
        <v>99.208839130491441</v>
      </c>
      <c r="BU5" s="4">
        <v>89.098308717212916</v>
      </c>
      <c r="BV5" s="4">
        <v>79.326343688683096</v>
      </c>
      <c r="BW5" s="4">
        <v>70.000007735020517</v>
      </c>
      <c r="BX5" s="4">
        <v>61.221482141111998</v>
      </c>
      <c r="BY5" s="4">
        <v>53.086946267110591</v>
      </c>
      <c r="BZ5" s="4">
        <v>45.685523787275088</v>
      </c>
      <c r="CA5" s="4">
        <v>39.098306232377823</v>
      </c>
      <c r="CB5" s="4">
        <v>33.397464533954235</v>
      </c>
      <c r="CC5" s="4">
        <v>28.645458304501105</v>
      </c>
      <c r="CD5" s="4">
        <v>24.894351516914938</v>
      </c>
      <c r="CE5" s="4">
        <v>22.185242080729239</v>
      </c>
      <c r="CF5" s="4">
        <v>20.54781156483277</v>
      </c>
    </row>
    <row r="6" spans="1:84" x14ac:dyDescent="0.3">
      <c r="A6" s="1">
        <f t="shared" ref="A6:A63" si="9">A5+1</f>
        <v>2</v>
      </c>
      <c r="B6" s="1">
        <f t="shared" ref="B6:B63" si="10">6*A6</f>
        <v>12</v>
      </c>
      <c r="C6" s="1">
        <f t="shared" si="2"/>
        <v>0.20943950666666669</v>
      </c>
      <c r="D6" s="1">
        <f t="shared" si="3"/>
        <v>138.71205185908599</v>
      </c>
      <c r="E6" s="2">
        <f t="shared" si="4"/>
        <v>31.966715867105819</v>
      </c>
      <c r="G6" s="4">
        <v>2</v>
      </c>
      <c r="H6" s="4">
        <v>140.79116873231774</v>
      </c>
      <c r="I6" s="4">
        <v>22.185239852339805</v>
      </c>
      <c r="J6" s="4">
        <f t="shared" si="0"/>
        <v>140</v>
      </c>
      <c r="K6" s="4">
        <f t="shared" si="1"/>
        <v>22</v>
      </c>
      <c r="M6">
        <v>138.71205185908599</v>
      </c>
      <c r="N6">
        <v>31.966715867105819</v>
      </c>
      <c r="O6">
        <f t="shared" si="5"/>
        <v>139.21205185908599</v>
      </c>
      <c r="P6">
        <f t="shared" si="6"/>
        <v>32.466715867105819</v>
      </c>
      <c r="Q6">
        <f t="shared" si="7"/>
        <v>139</v>
      </c>
      <c r="R6">
        <f t="shared" si="8"/>
        <v>32</v>
      </c>
      <c r="T6">
        <v>10</v>
      </c>
      <c r="U6">
        <v>206</v>
      </c>
      <c r="V6">
        <v>69</v>
      </c>
      <c r="X6" s="4" t="s">
        <v>0</v>
      </c>
      <c r="Y6" s="5">
        <f t="shared" ref="Y6:BD6" si="11">INT(Y4)</f>
        <v>120</v>
      </c>
      <c r="Z6" s="4">
        <f t="shared" si="11"/>
        <v>130</v>
      </c>
      <c r="AA6" s="4">
        <f t="shared" si="11"/>
        <v>140</v>
      </c>
      <c r="AB6" s="4">
        <f t="shared" si="11"/>
        <v>150</v>
      </c>
      <c r="AC6" s="4">
        <f t="shared" si="11"/>
        <v>160</v>
      </c>
      <c r="AD6" s="4">
        <f t="shared" si="11"/>
        <v>169</v>
      </c>
      <c r="AE6" s="4">
        <f t="shared" si="11"/>
        <v>178</v>
      </c>
      <c r="AF6" s="4">
        <f t="shared" si="11"/>
        <v>186</v>
      </c>
      <c r="AG6" s="4">
        <f t="shared" si="11"/>
        <v>194</v>
      </c>
      <c r="AH6" s="4">
        <f t="shared" si="11"/>
        <v>200</v>
      </c>
      <c r="AI6" s="4">
        <f t="shared" si="11"/>
        <v>206</v>
      </c>
      <c r="AJ6" s="4">
        <f t="shared" si="11"/>
        <v>211</v>
      </c>
      <c r="AK6" s="4">
        <f t="shared" si="11"/>
        <v>215</v>
      </c>
      <c r="AL6" s="4">
        <f t="shared" si="11"/>
        <v>217</v>
      </c>
      <c r="AM6" s="4">
        <f t="shared" si="11"/>
        <v>219</v>
      </c>
      <c r="AN6" s="5">
        <f t="shared" si="11"/>
        <v>220</v>
      </c>
      <c r="AO6" s="4">
        <f t="shared" si="11"/>
        <v>219</v>
      </c>
      <c r="AP6" s="4">
        <f t="shared" si="11"/>
        <v>217</v>
      </c>
      <c r="AQ6" s="4">
        <f t="shared" si="11"/>
        <v>215</v>
      </c>
      <c r="AR6" s="4">
        <f t="shared" si="11"/>
        <v>211</v>
      </c>
      <c r="AS6" s="4">
        <f t="shared" si="11"/>
        <v>206</v>
      </c>
      <c r="AT6" s="4">
        <f t="shared" si="11"/>
        <v>200</v>
      </c>
      <c r="AU6" s="4">
        <f t="shared" si="11"/>
        <v>194</v>
      </c>
      <c r="AV6" s="4">
        <f t="shared" si="11"/>
        <v>186</v>
      </c>
      <c r="AW6" s="4">
        <f t="shared" si="11"/>
        <v>178</v>
      </c>
      <c r="AX6" s="4">
        <f t="shared" si="11"/>
        <v>170</v>
      </c>
      <c r="AY6" s="4">
        <f t="shared" si="11"/>
        <v>160</v>
      </c>
      <c r="AZ6" s="4">
        <f t="shared" si="11"/>
        <v>150</v>
      </c>
      <c r="BA6" s="4">
        <f t="shared" si="11"/>
        <v>140</v>
      </c>
      <c r="BB6" s="4">
        <f t="shared" si="11"/>
        <v>130</v>
      </c>
      <c r="BC6" s="5">
        <f t="shared" si="11"/>
        <v>120</v>
      </c>
      <c r="BD6" s="4">
        <f t="shared" si="11"/>
        <v>109</v>
      </c>
      <c r="BE6" s="4">
        <f t="shared" ref="BE6:CF6" si="12">INT(BE4)</f>
        <v>99</v>
      </c>
      <c r="BF6" s="4">
        <f t="shared" si="12"/>
        <v>89</v>
      </c>
      <c r="BG6" s="4">
        <f t="shared" si="12"/>
        <v>79</v>
      </c>
      <c r="BH6" s="4">
        <f t="shared" si="12"/>
        <v>70</v>
      </c>
      <c r="BI6" s="4">
        <f t="shared" si="12"/>
        <v>61</v>
      </c>
      <c r="BJ6" s="4">
        <f t="shared" si="12"/>
        <v>53</v>
      </c>
      <c r="BK6" s="4">
        <f t="shared" si="12"/>
        <v>45</v>
      </c>
      <c r="BL6" s="4">
        <f t="shared" si="12"/>
        <v>39</v>
      </c>
      <c r="BM6" s="4">
        <f t="shared" si="12"/>
        <v>33</v>
      </c>
      <c r="BN6" s="4">
        <f t="shared" si="12"/>
        <v>28</v>
      </c>
      <c r="BO6" s="4">
        <f t="shared" si="12"/>
        <v>24</v>
      </c>
      <c r="BP6" s="4">
        <f t="shared" si="12"/>
        <v>22</v>
      </c>
      <c r="BQ6" s="4">
        <f t="shared" si="12"/>
        <v>20</v>
      </c>
      <c r="BR6" s="5">
        <f t="shared" si="12"/>
        <v>20</v>
      </c>
      <c r="BS6" s="4">
        <f t="shared" si="12"/>
        <v>20</v>
      </c>
      <c r="BT6" s="4">
        <f t="shared" si="12"/>
        <v>22</v>
      </c>
      <c r="BU6" s="4">
        <f t="shared" si="12"/>
        <v>24</v>
      </c>
      <c r="BV6" s="4">
        <f t="shared" si="12"/>
        <v>28</v>
      </c>
      <c r="BW6" s="4">
        <f t="shared" si="12"/>
        <v>33</v>
      </c>
      <c r="BX6" s="4">
        <f t="shared" si="12"/>
        <v>39</v>
      </c>
      <c r="BY6" s="4">
        <f t="shared" si="12"/>
        <v>45</v>
      </c>
      <c r="BZ6" s="4">
        <f t="shared" si="12"/>
        <v>53</v>
      </c>
      <c r="CA6" s="4">
        <f t="shared" si="12"/>
        <v>61</v>
      </c>
      <c r="CB6" s="4">
        <f t="shared" si="12"/>
        <v>69</v>
      </c>
      <c r="CC6" s="4">
        <f t="shared" si="12"/>
        <v>79</v>
      </c>
      <c r="CD6" s="4">
        <f t="shared" si="12"/>
        <v>89</v>
      </c>
      <c r="CE6" s="4">
        <f t="shared" si="12"/>
        <v>99</v>
      </c>
      <c r="CF6" s="4">
        <f t="shared" si="12"/>
        <v>109</v>
      </c>
    </row>
    <row r="7" spans="1:84" x14ac:dyDescent="0.3">
      <c r="A7" s="1">
        <f t="shared" si="9"/>
        <v>3</v>
      </c>
      <c r="B7" s="1">
        <f t="shared" si="10"/>
        <v>18</v>
      </c>
      <c r="C7" s="1">
        <f t="shared" si="2"/>
        <v>0.31415926</v>
      </c>
      <c r="D7" s="1">
        <f t="shared" si="3"/>
        <v>147.81152903504298</v>
      </c>
      <c r="E7" s="2">
        <f t="shared" si="4"/>
        <v>34.404913384394774</v>
      </c>
      <c r="G7" s="4">
        <v>3</v>
      </c>
      <c r="H7" s="4">
        <v>150.90169892782552</v>
      </c>
      <c r="I7" s="4">
        <v>24.894348204883087</v>
      </c>
      <c r="J7" s="4">
        <f t="shared" si="0"/>
        <v>150</v>
      </c>
      <c r="K7" s="4">
        <f t="shared" si="1"/>
        <v>24</v>
      </c>
      <c r="M7">
        <v>147.81152903504298</v>
      </c>
      <c r="N7">
        <v>34.404913384394774</v>
      </c>
      <c r="O7">
        <f t="shared" si="5"/>
        <v>148.31152903504298</v>
      </c>
      <c r="P7">
        <f t="shared" si="6"/>
        <v>34.904913384394774</v>
      </c>
      <c r="Q7">
        <f t="shared" si="7"/>
        <v>148</v>
      </c>
      <c r="R7">
        <f t="shared" si="8"/>
        <v>34</v>
      </c>
      <c r="T7">
        <v>15</v>
      </c>
      <c r="U7">
        <v>220</v>
      </c>
      <c r="V7">
        <v>119</v>
      </c>
      <c r="X7" s="4" t="s">
        <v>1</v>
      </c>
      <c r="Y7" s="5">
        <f t="shared" ref="Y7:BD7" si="13">INT(Y5)</f>
        <v>20</v>
      </c>
      <c r="Z7" s="4">
        <f t="shared" si="13"/>
        <v>20</v>
      </c>
      <c r="AA7" s="4">
        <f t="shared" si="13"/>
        <v>22</v>
      </c>
      <c r="AB7" s="4">
        <f t="shared" si="13"/>
        <v>24</v>
      </c>
      <c r="AC7" s="4">
        <f t="shared" si="13"/>
        <v>28</v>
      </c>
      <c r="AD7" s="4">
        <f t="shared" si="13"/>
        <v>33</v>
      </c>
      <c r="AE7" s="4">
        <f t="shared" si="13"/>
        <v>39</v>
      </c>
      <c r="AF7" s="4">
        <f t="shared" si="13"/>
        <v>45</v>
      </c>
      <c r="AG7" s="4">
        <f t="shared" si="13"/>
        <v>53</v>
      </c>
      <c r="AH7" s="4">
        <f t="shared" si="13"/>
        <v>61</v>
      </c>
      <c r="AI7" s="4">
        <f t="shared" si="13"/>
        <v>69</v>
      </c>
      <c r="AJ7" s="4">
        <f t="shared" si="13"/>
        <v>79</v>
      </c>
      <c r="AK7" s="4">
        <f t="shared" si="13"/>
        <v>89</v>
      </c>
      <c r="AL7" s="4">
        <f t="shared" si="13"/>
        <v>99</v>
      </c>
      <c r="AM7" s="4">
        <f t="shared" si="13"/>
        <v>109</v>
      </c>
      <c r="AN7" s="5">
        <f t="shared" si="13"/>
        <v>119</v>
      </c>
      <c r="AO7" s="4">
        <f t="shared" si="13"/>
        <v>130</v>
      </c>
      <c r="AP7" s="4">
        <f t="shared" si="13"/>
        <v>140</v>
      </c>
      <c r="AQ7" s="4">
        <f t="shared" si="13"/>
        <v>150</v>
      </c>
      <c r="AR7" s="4">
        <f t="shared" si="13"/>
        <v>160</v>
      </c>
      <c r="AS7" s="4">
        <f t="shared" si="13"/>
        <v>169</v>
      </c>
      <c r="AT7" s="4">
        <f t="shared" si="13"/>
        <v>178</v>
      </c>
      <c r="AU7" s="4">
        <f t="shared" si="13"/>
        <v>186</v>
      </c>
      <c r="AV7" s="4">
        <f t="shared" si="13"/>
        <v>194</v>
      </c>
      <c r="AW7" s="4">
        <f t="shared" si="13"/>
        <v>200</v>
      </c>
      <c r="AX7" s="4">
        <f t="shared" si="13"/>
        <v>206</v>
      </c>
      <c r="AY7" s="4">
        <f t="shared" si="13"/>
        <v>211</v>
      </c>
      <c r="AZ7" s="4">
        <f t="shared" si="13"/>
        <v>215</v>
      </c>
      <c r="BA7" s="4">
        <f t="shared" si="13"/>
        <v>217</v>
      </c>
      <c r="BB7" s="4">
        <f t="shared" si="13"/>
        <v>219</v>
      </c>
      <c r="BC7" s="5">
        <f t="shared" si="13"/>
        <v>220</v>
      </c>
      <c r="BD7" s="4">
        <f t="shared" si="13"/>
        <v>219</v>
      </c>
      <c r="BE7" s="4">
        <f t="shared" ref="BE7:CF7" si="14">INT(BE5)</f>
        <v>217</v>
      </c>
      <c r="BF7" s="4">
        <f t="shared" si="14"/>
        <v>215</v>
      </c>
      <c r="BG7" s="4">
        <f t="shared" si="14"/>
        <v>211</v>
      </c>
      <c r="BH7" s="4">
        <f t="shared" si="14"/>
        <v>206</v>
      </c>
      <c r="BI7" s="4">
        <f t="shared" si="14"/>
        <v>200</v>
      </c>
      <c r="BJ7" s="4">
        <f t="shared" si="14"/>
        <v>194</v>
      </c>
      <c r="BK7" s="4">
        <f t="shared" si="14"/>
        <v>186</v>
      </c>
      <c r="BL7" s="4">
        <f t="shared" si="14"/>
        <v>178</v>
      </c>
      <c r="BM7" s="4">
        <f t="shared" si="14"/>
        <v>170</v>
      </c>
      <c r="BN7" s="4">
        <f t="shared" si="14"/>
        <v>160</v>
      </c>
      <c r="BO7" s="4">
        <f t="shared" si="14"/>
        <v>150</v>
      </c>
      <c r="BP7" s="4">
        <f t="shared" si="14"/>
        <v>140</v>
      </c>
      <c r="BQ7" s="4">
        <f t="shared" si="14"/>
        <v>130</v>
      </c>
      <c r="BR7" s="5">
        <f t="shared" si="14"/>
        <v>120</v>
      </c>
      <c r="BS7" s="4">
        <f t="shared" si="14"/>
        <v>109</v>
      </c>
      <c r="BT7" s="4">
        <f t="shared" si="14"/>
        <v>99</v>
      </c>
      <c r="BU7" s="4">
        <f t="shared" si="14"/>
        <v>89</v>
      </c>
      <c r="BV7" s="4">
        <f t="shared" si="14"/>
        <v>79</v>
      </c>
      <c r="BW7" s="4">
        <f t="shared" si="14"/>
        <v>70</v>
      </c>
      <c r="BX7" s="4">
        <f t="shared" si="14"/>
        <v>61</v>
      </c>
      <c r="BY7" s="4">
        <f t="shared" si="14"/>
        <v>53</v>
      </c>
      <c r="BZ7" s="4">
        <f t="shared" si="14"/>
        <v>45</v>
      </c>
      <c r="CA7" s="4">
        <f t="shared" si="14"/>
        <v>39</v>
      </c>
      <c r="CB7" s="4">
        <f t="shared" si="14"/>
        <v>33</v>
      </c>
      <c r="CC7" s="4">
        <f t="shared" si="14"/>
        <v>28</v>
      </c>
      <c r="CD7" s="4">
        <f t="shared" si="14"/>
        <v>24</v>
      </c>
      <c r="CE7" s="4">
        <f t="shared" si="14"/>
        <v>22</v>
      </c>
      <c r="CF7" s="4">
        <f t="shared" si="14"/>
        <v>20</v>
      </c>
    </row>
    <row r="8" spans="1:84" x14ac:dyDescent="0.3">
      <c r="A8" s="1">
        <f t="shared" si="9"/>
        <v>4</v>
      </c>
      <c r="B8" s="1">
        <f t="shared" si="10"/>
        <v>24</v>
      </c>
      <c r="C8" s="1">
        <f t="shared" si="2"/>
        <v>0.41887901333333338</v>
      </c>
      <c r="D8" s="1">
        <f t="shared" si="3"/>
        <v>156.60629728934148</v>
      </c>
      <c r="E8" s="2">
        <f t="shared" si="4"/>
        <v>37.780908550602732</v>
      </c>
      <c r="G8" s="4">
        <v>4</v>
      </c>
      <c r="H8" s="4">
        <v>160.67366365482386</v>
      </c>
      <c r="I8" s="4">
        <v>28.645453945114141</v>
      </c>
      <c r="J8" s="4">
        <f t="shared" si="0"/>
        <v>160</v>
      </c>
      <c r="K8" s="4">
        <f t="shared" si="1"/>
        <v>28</v>
      </c>
      <c r="M8">
        <v>156.60629728934148</v>
      </c>
      <c r="N8">
        <v>37.780908550602732</v>
      </c>
      <c r="O8">
        <f t="shared" si="5"/>
        <v>157.10629728934148</v>
      </c>
      <c r="P8">
        <f t="shared" si="6"/>
        <v>38.280908550602732</v>
      </c>
      <c r="Q8">
        <f t="shared" si="7"/>
        <v>157</v>
      </c>
      <c r="R8">
        <f t="shared" si="8"/>
        <v>38</v>
      </c>
      <c r="T8">
        <v>20</v>
      </c>
      <c r="U8">
        <v>206</v>
      </c>
      <c r="V8">
        <v>169</v>
      </c>
    </row>
    <row r="9" spans="1:84" x14ac:dyDescent="0.3">
      <c r="A9" s="1">
        <f t="shared" si="9"/>
        <v>5</v>
      </c>
      <c r="B9" s="1">
        <f t="shared" si="10"/>
        <v>30</v>
      </c>
      <c r="C9" s="1">
        <f t="shared" si="2"/>
        <v>0.5235987666666666</v>
      </c>
      <c r="D9" s="1">
        <f t="shared" si="3"/>
        <v>164.99999930384814</v>
      </c>
      <c r="E9" s="2">
        <f t="shared" si="4"/>
        <v>42.057713257477076</v>
      </c>
      <c r="G9" s="5">
        <v>5</v>
      </c>
      <c r="H9" s="5">
        <v>169.99999922649795</v>
      </c>
      <c r="I9" s="5">
        <v>33.397459174974529</v>
      </c>
      <c r="J9" s="5">
        <f t="shared" si="0"/>
        <v>169</v>
      </c>
      <c r="K9" s="5">
        <f t="shared" si="1"/>
        <v>33</v>
      </c>
      <c r="M9">
        <v>164.99999930384814</v>
      </c>
      <c r="N9">
        <v>42.057713257477076</v>
      </c>
      <c r="O9">
        <f t="shared" si="5"/>
        <v>165.49999930384814</v>
      </c>
      <c r="P9">
        <f t="shared" si="6"/>
        <v>42.557713257477076</v>
      </c>
      <c r="Q9" s="7">
        <f t="shared" si="7"/>
        <v>165</v>
      </c>
      <c r="R9" s="7">
        <f t="shared" si="8"/>
        <v>42</v>
      </c>
      <c r="T9">
        <v>25</v>
      </c>
      <c r="U9">
        <v>170</v>
      </c>
      <c r="V9">
        <v>206</v>
      </c>
    </row>
    <row r="10" spans="1:84" x14ac:dyDescent="0.3">
      <c r="A10" s="1">
        <f t="shared" si="9"/>
        <v>6</v>
      </c>
      <c r="B10" s="1">
        <f t="shared" si="10"/>
        <v>36</v>
      </c>
      <c r="C10" s="1">
        <f t="shared" si="2"/>
        <v>0.62831851999999999</v>
      </c>
      <c r="D10" s="1">
        <f t="shared" si="3"/>
        <v>172.90067192593162</v>
      </c>
      <c r="E10" s="2">
        <f t="shared" si="4"/>
        <v>47.188469939267506</v>
      </c>
      <c r="G10" s="4">
        <v>6</v>
      </c>
      <c r="H10" s="4">
        <v>178.77852436214624</v>
      </c>
      <c r="I10" s="4">
        <v>39.098299932519453</v>
      </c>
      <c r="J10" s="4">
        <f t="shared" si="0"/>
        <v>178</v>
      </c>
      <c r="K10" s="4">
        <f t="shared" si="1"/>
        <v>39</v>
      </c>
      <c r="M10">
        <v>172.90067192593162</v>
      </c>
      <c r="N10">
        <v>47.188469939267506</v>
      </c>
      <c r="O10">
        <f t="shared" si="5"/>
        <v>173.40067192593162</v>
      </c>
      <c r="P10">
        <f t="shared" si="6"/>
        <v>47.688469939267506</v>
      </c>
      <c r="Q10">
        <f t="shared" si="7"/>
        <v>173</v>
      </c>
      <c r="R10">
        <f t="shared" si="8"/>
        <v>47</v>
      </c>
      <c r="T10">
        <v>30</v>
      </c>
      <c r="U10">
        <v>120</v>
      </c>
      <c r="V10">
        <v>220</v>
      </c>
    </row>
    <row r="11" spans="1:84" x14ac:dyDescent="0.3">
      <c r="A11" s="1">
        <f t="shared" si="9"/>
        <v>7</v>
      </c>
      <c r="B11" s="1">
        <f t="shared" si="10"/>
        <v>42</v>
      </c>
      <c r="C11" s="1">
        <f t="shared" si="2"/>
        <v>0.73303827333333338</v>
      </c>
      <c r="D11" s="1">
        <f t="shared" si="3"/>
        <v>180.2217537359727</v>
      </c>
      <c r="E11" s="2">
        <f t="shared" si="4"/>
        <v>53.116964954004544</v>
      </c>
      <c r="G11" s="4">
        <v>7</v>
      </c>
      <c r="H11" s="4">
        <v>186.91305970663635</v>
      </c>
      <c r="I11" s="4">
        <v>45.685516615560601</v>
      </c>
      <c r="J11" s="4">
        <f t="shared" si="0"/>
        <v>186</v>
      </c>
      <c r="K11" s="4">
        <f t="shared" si="1"/>
        <v>45</v>
      </c>
      <c r="M11">
        <v>180.2217537359727</v>
      </c>
      <c r="N11">
        <v>53.116964954004544</v>
      </c>
      <c r="O11">
        <f t="shared" si="5"/>
        <v>180.7217537359727</v>
      </c>
      <c r="P11">
        <f t="shared" si="6"/>
        <v>53.616964954004544</v>
      </c>
      <c r="Q11">
        <f t="shared" si="7"/>
        <v>180</v>
      </c>
      <c r="R11">
        <f t="shared" si="8"/>
        <v>53</v>
      </c>
      <c r="T11">
        <v>35</v>
      </c>
      <c r="U11">
        <v>70</v>
      </c>
      <c r="V11">
        <v>206</v>
      </c>
    </row>
    <row r="12" spans="1:84" x14ac:dyDescent="0.3">
      <c r="A12" s="1">
        <f t="shared" si="9"/>
        <v>8</v>
      </c>
      <c r="B12" s="1">
        <f t="shared" si="10"/>
        <v>48</v>
      </c>
      <c r="C12" s="1">
        <f t="shared" si="2"/>
        <v>0.83775802666666677</v>
      </c>
      <c r="D12" s="1">
        <f t="shared" si="3"/>
        <v>186.88303343235978</v>
      </c>
      <c r="E12" s="2">
        <f t="shared" si="4"/>
        <v>59.778244471903307</v>
      </c>
      <c r="G12" s="4">
        <v>8</v>
      </c>
      <c r="H12" s="4">
        <v>194.31448159151086</v>
      </c>
      <c r="I12" s="4">
        <v>53.086938302114788</v>
      </c>
      <c r="J12" s="4">
        <f t="shared" si="0"/>
        <v>194</v>
      </c>
      <c r="K12" s="4">
        <f t="shared" si="1"/>
        <v>53</v>
      </c>
      <c r="M12">
        <v>186.88303343235978</v>
      </c>
      <c r="N12">
        <v>59.778244471903307</v>
      </c>
      <c r="O12">
        <f t="shared" si="5"/>
        <v>187.38303343235978</v>
      </c>
      <c r="P12">
        <f t="shared" si="6"/>
        <v>60.278244471903307</v>
      </c>
      <c r="Q12">
        <f t="shared" si="7"/>
        <v>187</v>
      </c>
      <c r="R12">
        <f t="shared" si="8"/>
        <v>60</v>
      </c>
      <c r="T12">
        <v>40</v>
      </c>
      <c r="U12">
        <v>33</v>
      </c>
      <c r="V12">
        <v>170</v>
      </c>
    </row>
    <row r="13" spans="1:84" x14ac:dyDescent="0.3">
      <c r="A13" s="1">
        <f t="shared" si="9"/>
        <v>9</v>
      </c>
      <c r="B13" s="1">
        <f t="shared" si="10"/>
        <v>54</v>
      </c>
      <c r="C13" s="1">
        <f t="shared" si="2"/>
        <v>0.94247777999999993</v>
      </c>
      <c r="D13" s="1">
        <f t="shared" si="3"/>
        <v>192.81152864326441</v>
      </c>
      <c r="E13" s="2">
        <f t="shared" si="4"/>
        <v>67.099326123090975</v>
      </c>
      <c r="G13" s="4">
        <v>9</v>
      </c>
      <c r="H13" s="4">
        <v>200.90169849251603</v>
      </c>
      <c r="I13" s="4">
        <v>61.221473470101088</v>
      </c>
      <c r="J13" s="4">
        <f t="shared" si="0"/>
        <v>200</v>
      </c>
      <c r="K13" s="4">
        <f t="shared" si="1"/>
        <v>61</v>
      </c>
      <c r="M13">
        <v>192.81152864326441</v>
      </c>
      <c r="N13">
        <v>67.099326123090975</v>
      </c>
      <c r="O13">
        <f t="shared" si="5"/>
        <v>193.31152864326441</v>
      </c>
      <c r="P13">
        <f t="shared" si="6"/>
        <v>67.599326123090975</v>
      </c>
      <c r="Q13">
        <f t="shared" si="7"/>
        <v>193</v>
      </c>
      <c r="R13">
        <f t="shared" si="8"/>
        <v>67</v>
      </c>
      <c r="T13">
        <v>45</v>
      </c>
      <c r="U13">
        <v>20</v>
      </c>
      <c r="V13">
        <v>120</v>
      </c>
      <c r="X13" s="3" t="s">
        <v>5</v>
      </c>
      <c r="Y13">
        <v>0</v>
      </c>
      <c r="Z13">
        <v>5</v>
      </c>
      <c r="AA13">
        <v>10</v>
      </c>
      <c r="AB13">
        <v>15</v>
      </c>
      <c r="AC13">
        <v>20</v>
      </c>
      <c r="AD13">
        <v>25</v>
      </c>
      <c r="AE13">
        <v>30</v>
      </c>
      <c r="AF13">
        <v>35</v>
      </c>
      <c r="AG13">
        <v>40</v>
      </c>
      <c r="AH13">
        <v>45</v>
      </c>
      <c r="AI13">
        <v>50</v>
      </c>
      <c r="AJ13">
        <v>55</v>
      </c>
    </row>
    <row r="14" spans="1:84" x14ac:dyDescent="0.3">
      <c r="A14" s="1">
        <f t="shared" si="9"/>
        <v>10</v>
      </c>
      <c r="B14" s="1">
        <f t="shared" si="10"/>
        <v>60</v>
      </c>
      <c r="C14" s="1">
        <f t="shared" si="2"/>
        <v>1.0471975333333332</v>
      </c>
      <c r="D14" s="1">
        <f t="shared" si="3"/>
        <v>197.94228553675256</v>
      </c>
      <c r="E14" s="2">
        <f t="shared" si="4"/>
        <v>74.999998607696327</v>
      </c>
      <c r="G14" s="5">
        <v>10</v>
      </c>
      <c r="H14" s="5">
        <v>206.60253948528063</v>
      </c>
      <c r="I14" s="5">
        <v>69.999998452995925</v>
      </c>
      <c r="J14" s="5">
        <f t="shared" si="0"/>
        <v>206</v>
      </c>
      <c r="K14" s="5">
        <f t="shared" si="1"/>
        <v>69</v>
      </c>
      <c r="M14">
        <v>197.94228553675256</v>
      </c>
      <c r="N14">
        <v>74.999998607696327</v>
      </c>
      <c r="O14">
        <f t="shared" si="5"/>
        <v>198.44228553675256</v>
      </c>
      <c r="P14">
        <f t="shared" si="6"/>
        <v>75.499998607696327</v>
      </c>
      <c r="Q14" s="7">
        <f t="shared" si="7"/>
        <v>198</v>
      </c>
      <c r="R14" s="7">
        <f t="shared" si="8"/>
        <v>75</v>
      </c>
      <c r="T14">
        <v>50</v>
      </c>
      <c r="U14">
        <v>33</v>
      </c>
      <c r="V14">
        <v>70</v>
      </c>
      <c r="X14" s="3" t="s">
        <v>0</v>
      </c>
      <c r="Y14">
        <v>120</v>
      </c>
      <c r="Z14">
        <v>164</v>
      </c>
      <c r="AA14">
        <v>197</v>
      </c>
      <c r="AB14">
        <v>210</v>
      </c>
      <c r="AC14">
        <v>197</v>
      </c>
      <c r="AD14">
        <v>165</v>
      </c>
      <c r="AE14">
        <v>120</v>
      </c>
      <c r="AF14">
        <v>75</v>
      </c>
      <c r="AG14">
        <v>42</v>
      </c>
      <c r="AH14">
        <v>30</v>
      </c>
      <c r="AI14">
        <v>42</v>
      </c>
      <c r="AJ14">
        <v>74</v>
      </c>
    </row>
    <row r="15" spans="1:84" x14ac:dyDescent="0.3">
      <c r="A15" s="1">
        <f t="shared" si="9"/>
        <v>11</v>
      </c>
      <c r="B15" s="1">
        <f t="shared" si="10"/>
        <v>66</v>
      </c>
      <c r="C15" s="1">
        <f t="shared" si="2"/>
        <v>1.1519172866666667</v>
      </c>
      <c r="D15" s="1">
        <f t="shared" si="3"/>
        <v>202.21909046853528</v>
      </c>
      <c r="E15" s="2">
        <f t="shared" si="4"/>
        <v>83.393700507606496</v>
      </c>
      <c r="G15" s="4">
        <v>11</v>
      </c>
      <c r="H15" s="4">
        <v>211.35454496503922</v>
      </c>
      <c r="I15" s="4">
        <v>79.326333897340547</v>
      </c>
      <c r="J15" s="4">
        <f t="shared" si="0"/>
        <v>211</v>
      </c>
      <c r="K15" s="4">
        <f t="shared" si="1"/>
        <v>79</v>
      </c>
      <c r="M15">
        <v>202.21909046853528</v>
      </c>
      <c r="N15">
        <v>83.393700507606496</v>
      </c>
      <c r="O15">
        <f t="shared" si="5"/>
        <v>202.71909046853528</v>
      </c>
      <c r="P15">
        <f t="shared" si="6"/>
        <v>83.893700507606496</v>
      </c>
      <c r="Q15">
        <f t="shared" si="7"/>
        <v>202</v>
      </c>
      <c r="R15">
        <f t="shared" si="8"/>
        <v>83</v>
      </c>
      <c r="T15">
        <v>55</v>
      </c>
      <c r="U15">
        <v>69</v>
      </c>
      <c r="V15">
        <v>33</v>
      </c>
      <c r="X15" s="3" t="s">
        <v>1</v>
      </c>
      <c r="Y15">
        <v>30</v>
      </c>
      <c r="Z15">
        <v>42</v>
      </c>
      <c r="AA15">
        <v>74</v>
      </c>
      <c r="AB15">
        <v>119</v>
      </c>
      <c r="AC15">
        <v>164</v>
      </c>
      <c r="AD15">
        <v>197</v>
      </c>
      <c r="AE15">
        <v>210</v>
      </c>
      <c r="AF15">
        <v>197</v>
      </c>
      <c r="AG15">
        <v>165</v>
      </c>
      <c r="AH15">
        <v>120</v>
      </c>
      <c r="AI15">
        <v>75</v>
      </c>
      <c r="AJ15">
        <v>42</v>
      </c>
    </row>
    <row r="16" spans="1:84" x14ac:dyDescent="0.3">
      <c r="A16" s="1">
        <f t="shared" si="9"/>
        <v>12</v>
      </c>
      <c r="B16" s="1">
        <f t="shared" si="10"/>
        <v>72</v>
      </c>
      <c r="C16" s="1">
        <f t="shared" si="2"/>
        <v>1.25663704</v>
      </c>
      <c r="D16" s="1">
        <f t="shared" si="3"/>
        <v>205.59508587039815</v>
      </c>
      <c r="E16" s="2">
        <f t="shared" si="4"/>
        <v>92.188468671445548</v>
      </c>
      <c r="G16" s="4">
        <v>12</v>
      </c>
      <c r="H16" s="4">
        <v>215.10565096710906</v>
      </c>
      <c r="I16" s="4">
        <v>89.09829852382839</v>
      </c>
      <c r="J16" s="4">
        <f t="shared" si="0"/>
        <v>215</v>
      </c>
      <c r="K16" s="4">
        <f t="shared" si="1"/>
        <v>89</v>
      </c>
      <c r="M16">
        <v>205.59508587039815</v>
      </c>
      <c r="N16">
        <v>92.188468671445548</v>
      </c>
      <c r="O16">
        <f t="shared" si="5"/>
        <v>206.09508587039815</v>
      </c>
      <c r="P16">
        <f t="shared" si="6"/>
        <v>92.688468671445548</v>
      </c>
      <c r="Q16">
        <f t="shared" si="7"/>
        <v>206</v>
      </c>
      <c r="R16">
        <f t="shared" si="8"/>
        <v>92</v>
      </c>
    </row>
    <row r="17" spans="1:18" x14ac:dyDescent="0.3">
      <c r="A17" s="1">
        <f t="shared" si="9"/>
        <v>13</v>
      </c>
      <c r="B17" s="1">
        <f t="shared" si="10"/>
        <v>78</v>
      </c>
      <c r="C17" s="1">
        <f t="shared" si="2"/>
        <v>1.3613567933333333</v>
      </c>
      <c r="D17" s="1">
        <f t="shared" si="3"/>
        <v>208.03328363150666</v>
      </c>
      <c r="E17" s="2">
        <f t="shared" si="4"/>
        <v>101.28794578207128</v>
      </c>
      <c r="G17" s="4">
        <v>13</v>
      </c>
      <c r="H17" s="4">
        <v>217.81475959056294</v>
      </c>
      <c r="I17" s="4">
        <v>99.208828646745872</v>
      </c>
      <c r="J17" s="4">
        <f t="shared" si="0"/>
        <v>217</v>
      </c>
      <c r="K17" s="4">
        <f t="shared" si="1"/>
        <v>99</v>
      </c>
      <c r="M17">
        <v>208.03328363150666</v>
      </c>
      <c r="N17">
        <v>101.28794578207128</v>
      </c>
      <c r="O17">
        <f t="shared" si="5"/>
        <v>208.53328363150666</v>
      </c>
      <c r="P17">
        <f t="shared" si="6"/>
        <v>101.78794578207128</v>
      </c>
      <c r="Q17">
        <f t="shared" si="7"/>
        <v>208</v>
      </c>
      <c r="R17">
        <f t="shared" si="8"/>
        <v>101</v>
      </c>
    </row>
    <row r="18" spans="1:18" x14ac:dyDescent="0.3">
      <c r="A18" s="1">
        <f t="shared" si="9"/>
        <v>14</v>
      </c>
      <c r="B18" s="1">
        <f t="shared" si="10"/>
        <v>84</v>
      </c>
      <c r="C18" s="1">
        <f t="shared" si="2"/>
        <v>1.4660765466666668</v>
      </c>
      <c r="D18" s="1">
        <f t="shared" si="3"/>
        <v>209.5069703478749</v>
      </c>
      <c r="E18" s="2">
        <f t="shared" si="4"/>
        <v>110.59243606746985</v>
      </c>
      <c r="G18" s="4">
        <v>14</v>
      </c>
      <c r="H18" s="4">
        <v>219.45218927541657</v>
      </c>
      <c r="I18" s="4">
        <v>109.5471511860776</v>
      </c>
      <c r="J18" s="4">
        <f t="shared" si="0"/>
        <v>219</v>
      </c>
      <c r="K18" s="4">
        <f t="shared" si="1"/>
        <v>109</v>
      </c>
      <c r="M18">
        <v>209.5069703478749</v>
      </c>
      <c r="N18">
        <v>110.59243606746985</v>
      </c>
      <c r="O18">
        <f t="shared" si="5"/>
        <v>210.0069703478749</v>
      </c>
      <c r="P18">
        <f t="shared" si="6"/>
        <v>111.09243606746985</v>
      </c>
      <c r="Q18">
        <f t="shared" si="7"/>
        <v>210</v>
      </c>
      <c r="R18">
        <f t="shared" si="8"/>
        <v>111</v>
      </c>
    </row>
    <row r="19" spans="1:18" x14ac:dyDescent="0.3">
      <c r="A19" s="2">
        <f t="shared" si="9"/>
        <v>15</v>
      </c>
      <c r="B19" s="2">
        <f t="shared" si="10"/>
        <v>90</v>
      </c>
      <c r="C19" s="2">
        <f t="shared" si="2"/>
        <v>1.5707963</v>
      </c>
      <c r="D19" s="2">
        <f t="shared" si="3"/>
        <v>209.99999999999997</v>
      </c>
      <c r="E19" s="2">
        <f t="shared" si="4"/>
        <v>119.99999758845931</v>
      </c>
      <c r="G19" s="5">
        <v>15</v>
      </c>
      <c r="H19" s="5">
        <v>219.99999999999997</v>
      </c>
      <c r="I19" s="5">
        <v>119.99999732051035</v>
      </c>
      <c r="J19" s="5">
        <f t="shared" si="0"/>
        <v>220</v>
      </c>
      <c r="K19" s="5">
        <f t="shared" si="1"/>
        <v>119</v>
      </c>
      <c r="M19">
        <v>209.99999999999997</v>
      </c>
      <c r="N19">
        <v>119.99999758845931</v>
      </c>
      <c r="O19">
        <f t="shared" si="5"/>
        <v>210.49999999999997</v>
      </c>
      <c r="P19">
        <f t="shared" si="6"/>
        <v>120.49999758845931</v>
      </c>
      <c r="Q19" s="7">
        <f t="shared" si="7"/>
        <v>210</v>
      </c>
      <c r="R19" s="7">
        <f t="shared" si="8"/>
        <v>120</v>
      </c>
    </row>
    <row r="20" spans="1:18" x14ac:dyDescent="0.3">
      <c r="A20" s="1">
        <f t="shared" si="9"/>
        <v>16</v>
      </c>
      <c r="B20" s="1">
        <f t="shared" si="10"/>
        <v>96</v>
      </c>
      <c r="C20" s="1">
        <f t="shared" si="2"/>
        <v>1.6755160533333335</v>
      </c>
      <c r="D20" s="1">
        <f t="shared" si="3"/>
        <v>209.50697085202418</v>
      </c>
      <c r="E20" s="2">
        <f t="shared" si="4"/>
        <v>129.40755913587014</v>
      </c>
      <c r="G20" s="4">
        <v>16</v>
      </c>
      <c r="H20" s="4">
        <v>219.45218983558243</v>
      </c>
      <c r="I20" s="4">
        <v>130.45284348430016</v>
      </c>
      <c r="J20" s="4">
        <f t="shared" si="0"/>
        <v>219</v>
      </c>
      <c r="K20" s="4">
        <f t="shared" si="1"/>
        <v>130</v>
      </c>
      <c r="M20">
        <v>209.50697085202418</v>
      </c>
      <c r="N20">
        <v>129.40755913587014</v>
      </c>
      <c r="O20">
        <f t="shared" si="5"/>
        <v>210.00697085202418</v>
      </c>
      <c r="P20">
        <f t="shared" si="6"/>
        <v>129.90755913587014</v>
      </c>
      <c r="Q20">
        <f t="shared" si="7"/>
        <v>210</v>
      </c>
      <c r="R20">
        <f t="shared" si="8"/>
        <v>129</v>
      </c>
    </row>
    <row r="21" spans="1:18" x14ac:dyDescent="0.3">
      <c r="A21" s="1">
        <f t="shared" si="9"/>
        <v>17</v>
      </c>
      <c r="B21" s="1">
        <f t="shared" si="10"/>
        <v>102</v>
      </c>
      <c r="C21" s="1">
        <f t="shared" si="2"/>
        <v>1.7802358066666668</v>
      </c>
      <c r="D21" s="1">
        <f t="shared" si="3"/>
        <v>208.03328463428164</v>
      </c>
      <c r="E21" s="2">
        <f t="shared" si="4"/>
        <v>138.71204950024324</v>
      </c>
      <c r="G21" s="4">
        <v>17</v>
      </c>
      <c r="H21" s="4">
        <v>217.81476070475736</v>
      </c>
      <c r="I21" s="4">
        <v>140.79116611138136</v>
      </c>
      <c r="J21" s="4">
        <f t="shared" si="0"/>
        <v>217</v>
      </c>
      <c r="K21" s="4">
        <f t="shared" si="1"/>
        <v>140</v>
      </c>
      <c r="M21">
        <v>208.03328463428164</v>
      </c>
      <c r="N21">
        <v>138.71204950024324</v>
      </c>
      <c r="O21">
        <f t="shared" si="5"/>
        <v>208.53328463428164</v>
      </c>
      <c r="P21">
        <f t="shared" si="6"/>
        <v>139.21204950024324</v>
      </c>
      <c r="Q21">
        <f t="shared" si="7"/>
        <v>208</v>
      </c>
      <c r="R21">
        <f t="shared" si="8"/>
        <v>139</v>
      </c>
    </row>
    <row r="22" spans="1:18" x14ac:dyDescent="0.3">
      <c r="A22" s="1">
        <f t="shared" si="9"/>
        <v>18</v>
      </c>
      <c r="B22" s="1">
        <f t="shared" si="10"/>
        <v>108</v>
      </c>
      <c r="C22" s="1">
        <f t="shared" si="2"/>
        <v>1.8849555599999999</v>
      </c>
      <c r="D22" s="1">
        <f t="shared" si="3"/>
        <v>205.59508736081227</v>
      </c>
      <c r="E22" s="2">
        <f t="shared" si="4"/>
        <v>147.81152674153145</v>
      </c>
      <c r="G22" s="4">
        <v>18</v>
      </c>
      <c r="H22" s="4">
        <v>215.10565262312474</v>
      </c>
      <c r="I22" s="4">
        <v>150.90169637947938</v>
      </c>
      <c r="J22" s="4">
        <f t="shared" si="0"/>
        <v>215</v>
      </c>
      <c r="K22" s="4">
        <f t="shared" si="1"/>
        <v>150</v>
      </c>
      <c r="M22">
        <v>205.59508736081227</v>
      </c>
      <c r="N22">
        <v>147.81152674153145</v>
      </c>
      <c r="O22">
        <f t="shared" si="5"/>
        <v>206.09508736081227</v>
      </c>
      <c r="P22">
        <f t="shared" si="6"/>
        <v>148.31152674153145</v>
      </c>
      <c r="Q22">
        <f t="shared" si="7"/>
        <v>206</v>
      </c>
      <c r="R22">
        <f t="shared" si="8"/>
        <v>148</v>
      </c>
    </row>
    <row r="23" spans="1:18" x14ac:dyDescent="0.3">
      <c r="A23" s="1">
        <f t="shared" si="9"/>
        <v>19</v>
      </c>
      <c r="B23" s="1">
        <f t="shared" si="10"/>
        <v>114</v>
      </c>
      <c r="C23" s="1">
        <f t="shared" si="2"/>
        <v>1.9896753133333334</v>
      </c>
      <c r="D23" s="1">
        <f t="shared" si="3"/>
        <v>202.2190924302592</v>
      </c>
      <c r="E23" s="2">
        <f t="shared" si="4"/>
        <v>156.60629508628941</v>
      </c>
      <c r="G23" s="4">
        <v>19</v>
      </c>
      <c r="H23" s="4">
        <v>211.35454714473244</v>
      </c>
      <c r="I23" s="4">
        <v>160.67366120698824</v>
      </c>
      <c r="J23" s="4">
        <f t="shared" si="0"/>
        <v>211</v>
      </c>
      <c r="K23" s="4">
        <f t="shared" si="1"/>
        <v>160</v>
      </c>
      <c r="M23">
        <v>202.2190924302592</v>
      </c>
      <c r="N23">
        <v>156.60629508628941</v>
      </c>
      <c r="O23">
        <f t="shared" si="5"/>
        <v>202.7190924302592</v>
      </c>
      <c r="P23">
        <f t="shared" si="6"/>
        <v>157.10629508628941</v>
      </c>
      <c r="Q23">
        <f t="shared" si="7"/>
        <v>202</v>
      </c>
      <c r="R23">
        <f t="shared" si="8"/>
        <v>157</v>
      </c>
    </row>
    <row r="24" spans="1:18" x14ac:dyDescent="0.3">
      <c r="A24" s="1">
        <f t="shared" si="9"/>
        <v>20</v>
      </c>
      <c r="B24" s="1">
        <f t="shared" si="10"/>
        <v>120</v>
      </c>
      <c r="C24" s="1">
        <f t="shared" si="2"/>
        <v>2.0943950666666664</v>
      </c>
      <c r="D24" s="1">
        <f t="shared" si="3"/>
        <v>197.94228794829326</v>
      </c>
      <c r="E24" s="2">
        <f t="shared" si="4"/>
        <v>164.99999721539263</v>
      </c>
      <c r="G24" s="5">
        <v>20</v>
      </c>
      <c r="H24" s="5">
        <v>206.60254216477028</v>
      </c>
      <c r="I24" s="5">
        <v>169.99999690599179</v>
      </c>
      <c r="J24" s="5">
        <f t="shared" si="0"/>
        <v>206</v>
      </c>
      <c r="K24" s="5">
        <f t="shared" si="1"/>
        <v>169</v>
      </c>
      <c r="M24">
        <v>197.94228794829326</v>
      </c>
      <c r="N24">
        <v>164.99999721539263</v>
      </c>
      <c r="O24">
        <f t="shared" si="5"/>
        <v>198.44228794829326</v>
      </c>
      <c r="P24">
        <f t="shared" si="6"/>
        <v>165.49999721539263</v>
      </c>
      <c r="Q24" s="7">
        <f t="shared" si="7"/>
        <v>198</v>
      </c>
      <c r="R24" s="7">
        <f t="shared" si="8"/>
        <v>165</v>
      </c>
    </row>
    <row r="25" spans="1:18" x14ac:dyDescent="0.3">
      <c r="A25" s="1">
        <f t="shared" si="9"/>
        <v>21</v>
      </c>
      <c r="B25" s="1">
        <f t="shared" si="10"/>
        <v>126</v>
      </c>
      <c r="C25" s="1">
        <f t="shared" si="2"/>
        <v>2.1991148200000001</v>
      </c>
      <c r="D25" s="1">
        <f t="shared" si="3"/>
        <v>192.81153147820049</v>
      </c>
      <c r="E25" s="2">
        <f t="shared" si="4"/>
        <v>172.90066997495418</v>
      </c>
      <c r="G25" s="4">
        <v>21</v>
      </c>
      <c r="H25" s="4">
        <v>200.901701642445</v>
      </c>
      <c r="I25" s="4">
        <v>178.77852219439353</v>
      </c>
      <c r="J25" s="4">
        <f t="shared" si="0"/>
        <v>200</v>
      </c>
      <c r="K25" s="4">
        <f t="shared" si="1"/>
        <v>178</v>
      </c>
      <c r="M25">
        <v>192.81153147820049</v>
      </c>
      <c r="N25">
        <v>172.90066997495418</v>
      </c>
      <c r="O25">
        <f t="shared" si="5"/>
        <v>193.31153147820049</v>
      </c>
      <c r="P25">
        <f t="shared" si="6"/>
        <v>173.40066997495418</v>
      </c>
      <c r="Q25">
        <f t="shared" si="7"/>
        <v>193</v>
      </c>
      <c r="R25">
        <f t="shared" si="8"/>
        <v>173</v>
      </c>
    </row>
    <row r="26" spans="1:18" x14ac:dyDescent="0.3">
      <c r="A26" s="1">
        <f t="shared" si="9"/>
        <v>22</v>
      </c>
      <c r="B26" s="1">
        <f t="shared" si="10"/>
        <v>132</v>
      </c>
      <c r="C26" s="1">
        <f t="shared" si="2"/>
        <v>2.3038345733333334</v>
      </c>
      <c r="D26" s="1">
        <f t="shared" si="3"/>
        <v>186.8830366596311</v>
      </c>
      <c r="E26" s="2">
        <f t="shared" si="4"/>
        <v>180.22175194384869</v>
      </c>
      <c r="G26" s="4">
        <v>22</v>
      </c>
      <c r="H26" s="4">
        <v>194.31448517736789</v>
      </c>
      <c r="I26" s="4">
        <v>186.91305771538742</v>
      </c>
      <c r="J26" s="4">
        <f t="shared" si="0"/>
        <v>194</v>
      </c>
      <c r="K26" s="4">
        <f t="shared" si="1"/>
        <v>186</v>
      </c>
      <c r="M26">
        <v>186.8830366596311</v>
      </c>
      <c r="N26">
        <v>180.22175194384869</v>
      </c>
      <c r="O26">
        <f t="shared" si="5"/>
        <v>187.3830366596311</v>
      </c>
      <c r="P26">
        <f t="shared" si="6"/>
        <v>180.72175194384869</v>
      </c>
      <c r="Q26">
        <f t="shared" si="7"/>
        <v>187</v>
      </c>
      <c r="R26">
        <f t="shared" si="8"/>
        <v>180</v>
      </c>
    </row>
    <row r="27" spans="1:18" x14ac:dyDescent="0.3">
      <c r="A27" s="1">
        <f t="shared" si="9"/>
        <v>23</v>
      </c>
      <c r="B27" s="1">
        <f t="shared" si="10"/>
        <v>138</v>
      </c>
      <c r="C27" s="1">
        <f t="shared" si="2"/>
        <v>2.4085543266666667</v>
      </c>
      <c r="D27" s="1">
        <f t="shared" si="3"/>
        <v>180.22175732022063</v>
      </c>
      <c r="E27" s="2">
        <f t="shared" si="4"/>
        <v>186.88303181872402</v>
      </c>
      <c r="G27" s="4">
        <v>23</v>
      </c>
      <c r="H27" s="4">
        <v>186.91306368913405</v>
      </c>
      <c r="I27" s="4">
        <v>194.31447979858228</v>
      </c>
      <c r="J27" s="4">
        <f t="shared" si="0"/>
        <v>186</v>
      </c>
      <c r="K27" s="4">
        <f t="shared" si="1"/>
        <v>194</v>
      </c>
      <c r="M27">
        <v>180.22175732022063</v>
      </c>
      <c r="N27">
        <v>186.88303181872402</v>
      </c>
      <c r="O27">
        <f t="shared" si="5"/>
        <v>180.72175732022063</v>
      </c>
      <c r="P27">
        <f t="shared" si="6"/>
        <v>187.38303181872402</v>
      </c>
      <c r="Q27">
        <f t="shared" si="7"/>
        <v>180</v>
      </c>
      <c r="R27">
        <f t="shared" si="8"/>
        <v>187</v>
      </c>
    </row>
    <row r="28" spans="1:18" x14ac:dyDescent="0.3">
      <c r="A28" s="1">
        <f t="shared" si="9"/>
        <v>24</v>
      </c>
      <c r="B28" s="1">
        <f t="shared" si="10"/>
        <v>144</v>
      </c>
      <c r="C28" s="1">
        <f t="shared" si="2"/>
        <v>2.51327408</v>
      </c>
      <c r="D28" s="1">
        <f t="shared" si="3"/>
        <v>172.90067582788637</v>
      </c>
      <c r="E28" s="2">
        <f t="shared" si="4"/>
        <v>192.81152722579631</v>
      </c>
      <c r="G28" s="4">
        <v>24</v>
      </c>
      <c r="H28" s="4">
        <v>178.77852869765152</v>
      </c>
      <c r="I28" s="4">
        <v>200.90169691755148</v>
      </c>
      <c r="J28" s="4">
        <f t="shared" si="0"/>
        <v>178</v>
      </c>
      <c r="K28" s="4">
        <f t="shared" si="1"/>
        <v>200</v>
      </c>
      <c r="M28">
        <v>172.90067582788637</v>
      </c>
      <c r="N28">
        <v>192.81152722579631</v>
      </c>
      <c r="O28">
        <f t="shared" si="5"/>
        <v>173.40067582788637</v>
      </c>
      <c r="P28">
        <f t="shared" si="6"/>
        <v>193.31152722579631</v>
      </c>
      <c r="Q28">
        <f t="shared" si="7"/>
        <v>173</v>
      </c>
      <c r="R28">
        <f t="shared" si="8"/>
        <v>193</v>
      </c>
    </row>
    <row r="29" spans="1:18" x14ac:dyDescent="0.3">
      <c r="A29" s="1">
        <f t="shared" si="9"/>
        <v>25</v>
      </c>
      <c r="B29" s="1">
        <f t="shared" si="10"/>
        <v>150</v>
      </c>
      <c r="C29" s="1">
        <f t="shared" si="2"/>
        <v>2.6179938333333337</v>
      </c>
      <c r="D29" s="1">
        <f t="shared" si="3"/>
        <v>165.00000348075909</v>
      </c>
      <c r="E29" s="2">
        <f t="shared" si="4"/>
        <v>197.94228433098218</v>
      </c>
      <c r="G29" s="5">
        <v>25</v>
      </c>
      <c r="H29" s="5">
        <v>170.00000386751012</v>
      </c>
      <c r="I29" s="5">
        <v>206.60253814553573</v>
      </c>
      <c r="J29" s="5">
        <f t="shared" si="0"/>
        <v>170</v>
      </c>
      <c r="K29" s="5">
        <f t="shared" si="1"/>
        <v>206</v>
      </c>
      <c r="M29">
        <v>165.00000348075909</v>
      </c>
      <c r="N29">
        <v>197.94228433098218</v>
      </c>
      <c r="O29">
        <f t="shared" si="5"/>
        <v>165.50000348075909</v>
      </c>
      <c r="P29">
        <f t="shared" si="6"/>
        <v>198.44228433098218</v>
      </c>
      <c r="Q29" s="7">
        <f t="shared" si="7"/>
        <v>165</v>
      </c>
      <c r="R29" s="7">
        <f t="shared" si="8"/>
        <v>198</v>
      </c>
    </row>
    <row r="30" spans="1:18" x14ac:dyDescent="0.3">
      <c r="A30" s="1">
        <f t="shared" si="9"/>
        <v>26</v>
      </c>
      <c r="B30" s="1">
        <f t="shared" si="10"/>
        <v>156</v>
      </c>
      <c r="C30" s="1">
        <f t="shared" si="2"/>
        <v>2.7227135866666665</v>
      </c>
      <c r="D30" s="1">
        <f t="shared" si="3"/>
        <v>156.60630169544555</v>
      </c>
      <c r="E30" s="2">
        <f t="shared" si="4"/>
        <v>202.21908948767324</v>
      </c>
      <c r="G30" s="4">
        <v>26</v>
      </c>
      <c r="H30" s="4">
        <v>160.67366855049505</v>
      </c>
      <c r="I30" s="4">
        <v>211.35454387519249</v>
      </c>
      <c r="J30" s="4">
        <f t="shared" si="0"/>
        <v>160</v>
      </c>
      <c r="K30" s="4">
        <f t="shared" si="1"/>
        <v>211</v>
      </c>
      <c r="M30">
        <v>156.60630169544555</v>
      </c>
      <c r="N30">
        <v>202.21908948767324</v>
      </c>
      <c r="O30">
        <f t="shared" si="5"/>
        <v>157.10630169544555</v>
      </c>
      <c r="P30">
        <f t="shared" si="6"/>
        <v>202.71908948767324</v>
      </c>
      <c r="Q30">
        <f t="shared" si="7"/>
        <v>157</v>
      </c>
      <c r="R30">
        <f t="shared" si="8"/>
        <v>202</v>
      </c>
    </row>
    <row r="31" spans="1:18" x14ac:dyDescent="0.3">
      <c r="A31" s="1">
        <f t="shared" si="9"/>
        <v>27</v>
      </c>
      <c r="B31" s="1">
        <f t="shared" si="10"/>
        <v>162</v>
      </c>
      <c r="C31" s="1">
        <f t="shared" si="2"/>
        <v>2.8274333400000002</v>
      </c>
      <c r="D31" s="1">
        <f t="shared" si="3"/>
        <v>147.81153362206589</v>
      </c>
      <c r="E31" s="2">
        <f t="shared" si="4"/>
        <v>205.59508512519102</v>
      </c>
      <c r="G31" s="4">
        <v>27</v>
      </c>
      <c r="H31" s="4">
        <v>150.90170402451767</v>
      </c>
      <c r="I31" s="4">
        <v>215.10565013910116</v>
      </c>
      <c r="J31" s="4">
        <f t="shared" si="0"/>
        <v>150</v>
      </c>
      <c r="K31" s="4">
        <f t="shared" si="1"/>
        <v>215</v>
      </c>
      <c r="M31">
        <v>147.81153362206589</v>
      </c>
      <c r="N31">
        <v>205.59508512519102</v>
      </c>
      <c r="O31">
        <f t="shared" si="5"/>
        <v>148.31153362206589</v>
      </c>
      <c r="P31">
        <f t="shared" si="6"/>
        <v>206.09508512519102</v>
      </c>
      <c r="Q31">
        <f t="shared" si="7"/>
        <v>148</v>
      </c>
      <c r="R31">
        <f t="shared" si="8"/>
        <v>206</v>
      </c>
    </row>
    <row r="32" spans="1:18" x14ac:dyDescent="0.3">
      <c r="A32" s="1">
        <f t="shared" si="9"/>
        <v>28</v>
      </c>
      <c r="B32" s="1">
        <f t="shared" si="10"/>
        <v>168</v>
      </c>
      <c r="C32" s="1">
        <f t="shared" si="2"/>
        <v>2.9321530933333335</v>
      </c>
      <c r="D32" s="1">
        <f t="shared" si="3"/>
        <v>138.71205657677143</v>
      </c>
      <c r="E32" s="2">
        <f t="shared" si="4"/>
        <v>208.03328313011906</v>
      </c>
      <c r="G32" s="4">
        <v>28</v>
      </c>
      <c r="H32" s="4">
        <v>140.79117397419049</v>
      </c>
      <c r="I32" s="4">
        <v>217.81475903346563</v>
      </c>
      <c r="J32" s="4">
        <f t="shared" si="0"/>
        <v>140</v>
      </c>
      <c r="K32" s="4">
        <f t="shared" si="1"/>
        <v>217</v>
      </c>
      <c r="M32">
        <v>138.71205657677143</v>
      </c>
      <c r="N32">
        <v>208.03328313011906</v>
      </c>
      <c r="O32">
        <f t="shared" si="5"/>
        <v>139.21205657677143</v>
      </c>
      <c r="P32">
        <f t="shared" si="6"/>
        <v>208.53328313011906</v>
      </c>
      <c r="Q32">
        <f t="shared" si="7"/>
        <v>139</v>
      </c>
      <c r="R32">
        <f t="shared" si="8"/>
        <v>208</v>
      </c>
    </row>
    <row r="33" spans="1:18" x14ac:dyDescent="0.3">
      <c r="A33" s="1">
        <f t="shared" si="9"/>
        <v>29</v>
      </c>
      <c r="B33" s="1">
        <f t="shared" si="10"/>
        <v>174</v>
      </c>
      <c r="C33" s="1">
        <f t="shared" si="2"/>
        <v>3.0368728466666663</v>
      </c>
      <c r="D33" s="1">
        <f t="shared" si="3"/>
        <v>129.40756633086022</v>
      </c>
      <c r="E33" s="2">
        <f t="shared" si="4"/>
        <v>209.50697009580017</v>
      </c>
      <c r="G33" s="4">
        <v>29</v>
      </c>
      <c r="H33" s="4">
        <v>130.45285147873358</v>
      </c>
      <c r="I33" s="4">
        <v>219.45218899533353</v>
      </c>
      <c r="J33" s="4">
        <f t="shared" si="0"/>
        <v>130</v>
      </c>
      <c r="K33" s="4">
        <f t="shared" si="1"/>
        <v>219</v>
      </c>
      <c r="M33">
        <v>129.40756633086022</v>
      </c>
      <c r="N33">
        <v>209.50697009580017</v>
      </c>
      <c r="O33">
        <f t="shared" si="5"/>
        <v>129.90756633086022</v>
      </c>
      <c r="P33">
        <f t="shared" si="6"/>
        <v>210.00697009580017</v>
      </c>
      <c r="Q33">
        <f t="shared" si="7"/>
        <v>129</v>
      </c>
      <c r="R33">
        <f t="shared" si="8"/>
        <v>210</v>
      </c>
    </row>
    <row r="34" spans="1:18" x14ac:dyDescent="0.3">
      <c r="A34" s="2">
        <f t="shared" si="9"/>
        <v>30</v>
      </c>
      <c r="B34" s="2">
        <f t="shared" si="10"/>
        <v>180</v>
      </c>
      <c r="C34" s="2">
        <f t="shared" si="2"/>
        <v>3.1415926000000001</v>
      </c>
      <c r="D34" s="1">
        <f t="shared" si="3"/>
        <v>120.00000482308138</v>
      </c>
      <c r="E34" s="2">
        <f t="shared" si="4"/>
        <v>209.99999999999989</v>
      </c>
      <c r="G34" s="5">
        <v>30</v>
      </c>
      <c r="H34" s="5">
        <v>120.00000535897932</v>
      </c>
      <c r="I34" s="5">
        <v>219.99999999999986</v>
      </c>
      <c r="J34" s="5">
        <f t="shared" si="0"/>
        <v>120</v>
      </c>
      <c r="K34" s="5">
        <f t="shared" si="1"/>
        <v>220</v>
      </c>
      <c r="M34">
        <v>120.00000482308138</v>
      </c>
      <c r="N34">
        <v>209.99999999999989</v>
      </c>
      <c r="O34">
        <f t="shared" si="5"/>
        <v>120.50000482308138</v>
      </c>
      <c r="P34">
        <f t="shared" si="6"/>
        <v>210.49999999999989</v>
      </c>
      <c r="Q34" s="7">
        <f t="shared" si="7"/>
        <v>120</v>
      </c>
      <c r="R34" s="7">
        <f t="shared" si="8"/>
        <v>210</v>
      </c>
    </row>
    <row r="35" spans="1:18" x14ac:dyDescent="0.3">
      <c r="A35" s="1">
        <f t="shared" si="9"/>
        <v>31</v>
      </c>
      <c r="B35" s="1">
        <f t="shared" si="10"/>
        <v>186</v>
      </c>
      <c r="C35" s="1">
        <f t="shared" si="2"/>
        <v>3.2463123533333333</v>
      </c>
      <c r="D35" s="1">
        <f t="shared" si="3"/>
        <v>110.59244326245991</v>
      </c>
      <c r="E35" s="2">
        <f t="shared" si="4"/>
        <v>209.50697110409874</v>
      </c>
      <c r="G35" s="4">
        <v>31</v>
      </c>
      <c r="H35" s="4">
        <v>109.54715918051102</v>
      </c>
      <c r="I35" s="4">
        <v>219.45219011566525</v>
      </c>
      <c r="J35" s="4">
        <f t="shared" si="0"/>
        <v>109</v>
      </c>
      <c r="K35" s="4">
        <f t="shared" si="1"/>
        <v>219</v>
      </c>
      <c r="M35">
        <v>110.59244326245991</v>
      </c>
      <c r="N35">
        <v>209.50697110409874</v>
      </c>
      <c r="O35">
        <f t="shared" si="5"/>
        <v>111.09244326245991</v>
      </c>
      <c r="P35">
        <f t="shared" si="6"/>
        <v>210.00697110409874</v>
      </c>
      <c r="Q35">
        <f t="shared" si="7"/>
        <v>111</v>
      </c>
      <c r="R35">
        <f t="shared" si="8"/>
        <v>210</v>
      </c>
    </row>
    <row r="36" spans="1:18" x14ac:dyDescent="0.3">
      <c r="A36" s="1">
        <f t="shared" si="9"/>
        <v>32</v>
      </c>
      <c r="B36" s="1">
        <f t="shared" si="10"/>
        <v>192</v>
      </c>
      <c r="C36" s="1">
        <f t="shared" si="2"/>
        <v>3.3510321066666671</v>
      </c>
      <c r="D36" s="1">
        <f t="shared" si="3"/>
        <v>101.28795285859951</v>
      </c>
      <c r="E36" s="2">
        <f t="shared" si="4"/>
        <v>208.03328513566902</v>
      </c>
      <c r="G36" s="4">
        <v>32</v>
      </c>
      <c r="H36" s="4">
        <v>99.208836509555013</v>
      </c>
      <c r="I36" s="4">
        <v>217.81476126185447</v>
      </c>
      <c r="J36" s="4">
        <f t="shared" ref="J36:J63" si="15">INT(H36)</f>
        <v>99</v>
      </c>
      <c r="K36" s="4">
        <f t="shared" ref="K36:K63" si="16">INT(I36)</f>
        <v>217</v>
      </c>
      <c r="M36">
        <v>101.28795285859951</v>
      </c>
      <c r="N36">
        <v>208.03328513566902</v>
      </c>
      <c r="O36">
        <f t="shared" si="5"/>
        <v>101.78795285859951</v>
      </c>
      <c r="P36">
        <f t="shared" si="6"/>
        <v>208.53328513566902</v>
      </c>
      <c r="Q36">
        <f t="shared" si="7"/>
        <v>101</v>
      </c>
      <c r="R36">
        <f t="shared" si="8"/>
        <v>208</v>
      </c>
    </row>
    <row r="37" spans="1:18" x14ac:dyDescent="0.3">
      <c r="A37" s="1">
        <f t="shared" si="9"/>
        <v>33</v>
      </c>
      <c r="B37" s="1">
        <f t="shared" si="10"/>
        <v>198</v>
      </c>
      <c r="C37" s="1">
        <f t="shared" si="2"/>
        <v>3.4557518599999999</v>
      </c>
      <c r="D37" s="1">
        <f t="shared" si="3"/>
        <v>92.188475551980076</v>
      </c>
      <c r="E37" s="2">
        <f t="shared" si="4"/>
        <v>205.5950881060192</v>
      </c>
      <c r="G37" s="4">
        <v>33</v>
      </c>
      <c r="H37" s="4">
        <v>89.098306168866742</v>
      </c>
      <c r="I37" s="4">
        <v>215.10565345113244</v>
      </c>
      <c r="J37" s="4">
        <f t="shared" si="15"/>
        <v>89</v>
      </c>
      <c r="K37" s="4">
        <f t="shared" si="16"/>
        <v>215</v>
      </c>
      <c r="M37">
        <v>92.188475551980076</v>
      </c>
      <c r="N37">
        <v>205.5950881060192</v>
      </c>
      <c r="O37">
        <f t="shared" si="5"/>
        <v>92.688475551980076</v>
      </c>
      <c r="P37">
        <f t="shared" si="6"/>
        <v>206.0950881060192</v>
      </c>
      <c r="Q37">
        <f t="shared" si="7"/>
        <v>92</v>
      </c>
      <c r="R37">
        <f t="shared" si="8"/>
        <v>206</v>
      </c>
    </row>
    <row r="38" spans="1:18" x14ac:dyDescent="0.3">
      <c r="A38" s="1">
        <f t="shared" si="9"/>
        <v>34</v>
      </c>
      <c r="B38" s="1">
        <f t="shared" si="10"/>
        <v>204</v>
      </c>
      <c r="C38" s="1">
        <f t="shared" si="2"/>
        <v>3.5604716133333336</v>
      </c>
      <c r="D38" s="1">
        <f t="shared" si="3"/>
        <v>83.39370711676267</v>
      </c>
      <c r="E38" s="2">
        <f t="shared" si="4"/>
        <v>202.21909341112104</v>
      </c>
      <c r="G38" s="4">
        <v>34</v>
      </c>
      <c r="H38" s="4">
        <v>79.326341240847398</v>
      </c>
      <c r="I38" s="4">
        <v>211.35454823457894</v>
      </c>
      <c r="J38" s="4">
        <f t="shared" si="15"/>
        <v>79</v>
      </c>
      <c r="K38" s="4">
        <f t="shared" si="16"/>
        <v>211</v>
      </c>
      <c r="M38">
        <v>83.39370711676267</v>
      </c>
      <c r="N38">
        <v>202.21909341112104</v>
      </c>
      <c r="O38">
        <f t="shared" si="5"/>
        <v>83.89370711676267</v>
      </c>
      <c r="P38">
        <f t="shared" si="6"/>
        <v>202.71909341112104</v>
      </c>
      <c r="Q38">
        <f t="shared" si="7"/>
        <v>83</v>
      </c>
      <c r="R38">
        <f t="shared" si="8"/>
        <v>202</v>
      </c>
    </row>
    <row r="39" spans="1:18" x14ac:dyDescent="0.3">
      <c r="A39" s="1">
        <f t="shared" si="9"/>
        <v>35</v>
      </c>
      <c r="B39" s="1">
        <f t="shared" si="10"/>
        <v>210</v>
      </c>
      <c r="C39" s="1">
        <f t="shared" si="2"/>
        <v>3.6651913666666669</v>
      </c>
      <c r="D39" s="1">
        <f t="shared" si="3"/>
        <v>75.00000487306292</v>
      </c>
      <c r="E39" s="2">
        <f t="shared" si="4"/>
        <v>197.94228915406347</v>
      </c>
      <c r="G39" s="5">
        <v>35</v>
      </c>
      <c r="H39" s="5">
        <v>70.000005414514348</v>
      </c>
      <c r="I39" s="5">
        <v>206.60254350451495</v>
      </c>
      <c r="J39" s="5">
        <f t="shared" si="15"/>
        <v>70</v>
      </c>
      <c r="K39" s="5">
        <f t="shared" si="16"/>
        <v>206</v>
      </c>
      <c r="M39">
        <v>75.00000487306292</v>
      </c>
      <c r="N39">
        <v>197.94228915406347</v>
      </c>
      <c r="O39">
        <f t="shared" si="5"/>
        <v>75.50000487306292</v>
      </c>
      <c r="P39">
        <f t="shared" si="6"/>
        <v>198.44228915406347</v>
      </c>
      <c r="Q39" s="7">
        <f t="shared" si="7"/>
        <v>75</v>
      </c>
      <c r="R39" s="7">
        <f t="shared" si="8"/>
        <v>198</v>
      </c>
    </row>
    <row r="40" spans="1:18" x14ac:dyDescent="0.3">
      <c r="A40" s="1">
        <f t="shared" si="9"/>
        <v>36</v>
      </c>
      <c r="B40" s="1">
        <f t="shared" si="10"/>
        <v>216</v>
      </c>
      <c r="C40" s="1">
        <f t="shared" si="2"/>
        <v>3.7699111199999997</v>
      </c>
      <c r="D40" s="1">
        <f t="shared" si="3"/>
        <v>67.099331976023322</v>
      </c>
      <c r="E40" s="2">
        <f t="shared" si="4"/>
        <v>192.81153289566845</v>
      </c>
      <c r="G40" s="4">
        <v>36</v>
      </c>
      <c r="H40" s="4">
        <v>61.221479973359244</v>
      </c>
      <c r="I40" s="4">
        <v>200.90170321740942</v>
      </c>
      <c r="J40" s="4">
        <f t="shared" si="15"/>
        <v>61</v>
      </c>
      <c r="K40" s="4">
        <f t="shared" si="16"/>
        <v>200</v>
      </c>
      <c r="M40">
        <v>67.099331976023322</v>
      </c>
      <c r="N40">
        <v>192.81153289566845</v>
      </c>
      <c r="O40">
        <f t="shared" si="5"/>
        <v>67.599331976023322</v>
      </c>
      <c r="P40">
        <f t="shared" si="6"/>
        <v>193.31153289566845</v>
      </c>
      <c r="Q40">
        <f t="shared" si="7"/>
        <v>67</v>
      </c>
      <c r="R40">
        <f t="shared" si="8"/>
        <v>193</v>
      </c>
    </row>
    <row r="41" spans="1:18" x14ac:dyDescent="0.3">
      <c r="A41" s="1">
        <f t="shared" si="9"/>
        <v>37</v>
      </c>
      <c r="B41" s="1">
        <f t="shared" si="10"/>
        <v>222</v>
      </c>
      <c r="C41" s="1">
        <f t="shared" si="2"/>
        <v>3.8746308733333334</v>
      </c>
      <c r="D41" s="1">
        <f t="shared" si="3"/>
        <v>59.778249848275394</v>
      </c>
      <c r="E41" s="2">
        <f t="shared" si="4"/>
        <v>186.88303827326669</v>
      </c>
      <c r="G41" s="4">
        <v>37</v>
      </c>
      <c r="H41" s="4">
        <v>53.086944275861555</v>
      </c>
      <c r="I41" s="4">
        <v>194.31448697029634</v>
      </c>
      <c r="J41" s="4">
        <f t="shared" si="15"/>
        <v>53</v>
      </c>
      <c r="K41" s="4">
        <f t="shared" si="16"/>
        <v>194</v>
      </c>
      <c r="M41">
        <v>59.778249848275394</v>
      </c>
      <c r="N41">
        <v>186.88303827326669</v>
      </c>
      <c r="O41">
        <f t="shared" si="5"/>
        <v>60.278249848275394</v>
      </c>
      <c r="P41">
        <f t="shared" si="6"/>
        <v>187.38303827326669</v>
      </c>
      <c r="Q41">
        <f t="shared" si="7"/>
        <v>60</v>
      </c>
      <c r="R41">
        <f t="shared" si="8"/>
        <v>187</v>
      </c>
    </row>
    <row r="42" spans="1:18" x14ac:dyDescent="0.3">
      <c r="A42" s="1">
        <f t="shared" si="9"/>
        <v>38</v>
      </c>
      <c r="B42" s="1">
        <f t="shared" si="10"/>
        <v>228</v>
      </c>
      <c r="C42" s="1">
        <f t="shared" si="2"/>
        <v>3.9793506266666667</v>
      </c>
      <c r="D42" s="1">
        <f t="shared" si="3"/>
        <v>53.116969794911739</v>
      </c>
      <c r="E42" s="2">
        <f t="shared" si="4"/>
        <v>180.22175911234456</v>
      </c>
      <c r="G42" s="4">
        <v>38</v>
      </c>
      <c r="H42" s="4">
        <v>45.685521994346388</v>
      </c>
      <c r="I42" s="4">
        <v>186.91306568038283</v>
      </c>
      <c r="J42" s="4">
        <f t="shared" si="15"/>
        <v>45</v>
      </c>
      <c r="K42" s="4">
        <f t="shared" si="16"/>
        <v>186</v>
      </c>
      <c r="M42">
        <v>53.116969794911739</v>
      </c>
      <c r="N42">
        <v>180.22175911234456</v>
      </c>
      <c r="O42">
        <f t="shared" si="5"/>
        <v>53.616969794911739</v>
      </c>
      <c r="P42">
        <f t="shared" si="6"/>
        <v>180.72175911234456</v>
      </c>
      <c r="Q42">
        <f t="shared" si="7"/>
        <v>53</v>
      </c>
      <c r="R42">
        <f t="shared" si="8"/>
        <v>180</v>
      </c>
    </row>
    <row r="43" spans="1:18" x14ac:dyDescent="0.3">
      <c r="A43" s="1">
        <f t="shared" si="9"/>
        <v>39</v>
      </c>
      <c r="B43" s="1">
        <f t="shared" si="10"/>
        <v>234</v>
      </c>
      <c r="C43" s="1">
        <f t="shared" si="2"/>
        <v>4.08407038</v>
      </c>
      <c r="D43" s="1">
        <f t="shared" si="3"/>
        <v>47.188474191671844</v>
      </c>
      <c r="E43" s="2">
        <f t="shared" si="4"/>
        <v>172.90067777886372</v>
      </c>
      <c r="G43" s="4">
        <v>39</v>
      </c>
      <c r="H43" s="4">
        <v>39.098304657413166</v>
      </c>
      <c r="I43" s="4">
        <v>178.77853086540412</v>
      </c>
      <c r="J43" s="4">
        <f t="shared" si="15"/>
        <v>39</v>
      </c>
      <c r="K43" s="4">
        <f t="shared" si="16"/>
        <v>178</v>
      </c>
      <c r="M43">
        <v>47.188474191671844</v>
      </c>
      <c r="N43">
        <v>172.90067777886372</v>
      </c>
      <c r="O43">
        <f t="shared" si="5"/>
        <v>47.688474191671844</v>
      </c>
      <c r="P43">
        <f t="shared" si="6"/>
        <v>173.40067777886372</v>
      </c>
      <c r="Q43">
        <f t="shared" si="7"/>
        <v>47</v>
      </c>
      <c r="R43">
        <f t="shared" si="8"/>
        <v>173</v>
      </c>
    </row>
    <row r="44" spans="1:18" x14ac:dyDescent="0.3">
      <c r="A44" s="1">
        <f t="shared" si="9"/>
        <v>40</v>
      </c>
      <c r="B44" s="1">
        <f t="shared" si="10"/>
        <v>240</v>
      </c>
      <c r="C44" s="1">
        <f t="shared" si="2"/>
        <v>4.1887901333333328</v>
      </c>
      <c r="D44" s="1">
        <f t="shared" si="3"/>
        <v>42.057716874788341</v>
      </c>
      <c r="E44" s="2">
        <f t="shared" si="4"/>
        <v>165.00000556921461</v>
      </c>
      <c r="G44" s="5">
        <v>40</v>
      </c>
      <c r="H44" s="5">
        <v>33.397463194209266</v>
      </c>
      <c r="I44" s="5">
        <v>170.00000618801621</v>
      </c>
      <c r="J44" s="5">
        <f t="shared" si="15"/>
        <v>33</v>
      </c>
      <c r="K44" s="5">
        <f t="shared" si="16"/>
        <v>170</v>
      </c>
      <c r="M44">
        <v>42.057716874788341</v>
      </c>
      <c r="N44">
        <v>165.00000556921461</v>
      </c>
      <c r="O44">
        <f t="shared" si="5"/>
        <v>42.557716874788341</v>
      </c>
      <c r="P44">
        <f t="shared" si="6"/>
        <v>165.50000556921461</v>
      </c>
      <c r="Q44" s="7">
        <f t="shared" si="7"/>
        <v>42</v>
      </c>
      <c r="R44" s="7">
        <f t="shared" si="8"/>
        <v>165</v>
      </c>
    </row>
    <row r="45" spans="1:18" x14ac:dyDescent="0.3">
      <c r="A45" s="1">
        <f t="shared" si="9"/>
        <v>41</v>
      </c>
      <c r="B45" s="1">
        <f t="shared" si="10"/>
        <v>246</v>
      </c>
      <c r="C45" s="1">
        <f t="shared" si="2"/>
        <v>4.2935098866666666</v>
      </c>
      <c r="D45" s="1">
        <f t="shared" si="3"/>
        <v>37.780911493188853</v>
      </c>
      <c r="E45" s="2">
        <f t="shared" si="4"/>
        <v>156.60630389849752</v>
      </c>
      <c r="G45" s="4">
        <v>41</v>
      </c>
      <c r="H45" s="4">
        <v>28.645457214654286</v>
      </c>
      <c r="I45" s="4">
        <v>160.67367099833058</v>
      </c>
      <c r="J45" s="4">
        <f t="shared" si="15"/>
        <v>28</v>
      </c>
      <c r="K45" s="4">
        <f t="shared" si="16"/>
        <v>160</v>
      </c>
      <c r="M45">
        <v>37.780911493188853</v>
      </c>
      <c r="N45">
        <v>156.60630389849752</v>
      </c>
      <c r="O45">
        <f t="shared" si="5"/>
        <v>38.280911493188853</v>
      </c>
      <c r="P45">
        <f t="shared" si="6"/>
        <v>157.10630389849752</v>
      </c>
      <c r="Q45">
        <f t="shared" si="7"/>
        <v>38</v>
      </c>
      <c r="R45">
        <f t="shared" si="8"/>
        <v>157</v>
      </c>
    </row>
    <row r="46" spans="1:18" x14ac:dyDescent="0.3">
      <c r="A46" s="1">
        <f t="shared" si="9"/>
        <v>42</v>
      </c>
      <c r="B46" s="1">
        <f t="shared" si="10"/>
        <v>252</v>
      </c>
      <c r="C46" s="1">
        <f t="shared" si="2"/>
        <v>4.3982296400000003</v>
      </c>
      <c r="D46" s="1">
        <f t="shared" si="3"/>
        <v>34.404915620016169</v>
      </c>
      <c r="E46" s="2">
        <f t="shared" si="4"/>
        <v>147.81153591557734</v>
      </c>
      <c r="G46" s="4">
        <v>42</v>
      </c>
      <c r="H46" s="4">
        <v>24.894350688906854</v>
      </c>
      <c r="I46" s="4">
        <v>150.90170657286373</v>
      </c>
      <c r="J46" s="4">
        <f t="shared" si="15"/>
        <v>24</v>
      </c>
      <c r="K46" s="4">
        <f t="shared" si="16"/>
        <v>150</v>
      </c>
      <c r="M46">
        <v>34.404915620016169</v>
      </c>
      <c r="N46">
        <v>147.81153591557734</v>
      </c>
      <c r="O46">
        <f t="shared" si="5"/>
        <v>34.904915620016169</v>
      </c>
      <c r="P46">
        <f t="shared" si="6"/>
        <v>148.31153591557734</v>
      </c>
      <c r="Q46">
        <f t="shared" si="7"/>
        <v>34</v>
      </c>
      <c r="R46">
        <f t="shared" si="8"/>
        <v>148</v>
      </c>
    </row>
    <row r="47" spans="1:18" x14ac:dyDescent="0.3">
      <c r="A47" s="1">
        <f t="shared" si="9"/>
        <v>43</v>
      </c>
      <c r="B47" s="1">
        <f t="shared" si="10"/>
        <v>258</v>
      </c>
      <c r="C47" s="1">
        <f t="shared" si="2"/>
        <v>4.502949393333334</v>
      </c>
      <c r="D47" s="1">
        <f t="shared" si="3"/>
        <v>31.966717371268587</v>
      </c>
      <c r="E47" s="2">
        <f t="shared" si="4"/>
        <v>138.7120589356141</v>
      </c>
      <c r="G47" s="4">
        <v>43</v>
      </c>
      <c r="H47" s="4">
        <v>22.18524152363176</v>
      </c>
      <c r="I47" s="4">
        <v>140.79117659512679</v>
      </c>
      <c r="J47" s="4">
        <f t="shared" si="15"/>
        <v>22</v>
      </c>
      <c r="K47" s="4">
        <f t="shared" si="16"/>
        <v>140</v>
      </c>
      <c r="M47">
        <v>31.966717371268587</v>
      </c>
      <c r="N47">
        <v>138.7120589356141</v>
      </c>
      <c r="O47">
        <f t="shared" si="5"/>
        <v>32.466717371268587</v>
      </c>
      <c r="P47">
        <f t="shared" si="6"/>
        <v>139.2120589356141</v>
      </c>
      <c r="Q47">
        <f t="shared" si="7"/>
        <v>32</v>
      </c>
      <c r="R47">
        <f t="shared" si="8"/>
        <v>139</v>
      </c>
    </row>
    <row r="48" spans="1:18" x14ac:dyDescent="0.3">
      <c r="A48" s="1">
        <f t="shared" si="9"/>
        <v>44</v>
      </c>
      <c r="B48" s="1">
        <f t="shared" si="10"/>
        <v>264</v>
      </c>
      <c r="C48" s="1">
        <f t="shared" si="2"/>
        <v>4.6076691466666668</v>
      </c>
      <c r="D48" s="1">
        <f t="shared" si="3"/>
        <v>30.493030156274628</v>
      </c>
      <c r="E48" s="2">
        <f t="shared" si="4"/>
        <v>129.40756872919016</v>
      </c>
      <c r="G48" s="4">
        <v>44</v>
      </c>
      <c r="H48" s="4">
        <v>20.547811284749585</v>
      </c>
      <c r="I48" s="4">
        <v>130.45285414354464</v>
      </c>
      <c r="J48" s="4">
        <f t="shared" si="15"/>
        <v>20</v>
      </c>
      <c r="K48" s="4">
        <f t="shared" si="16"/>
        <v>130</v>
      </c>
      <c r="M48">
        <v>30.493030156274628</v>
      </c>
      <c r="N48">
        <v>129.40756872919016</v>
      </c>
      <c r="O48">
        <f t="shared" si="5"/>
        <v>30.993030156274628</v>
      </c>
      <c r="P48">
        <f t="shared" si="6"/>
        <v>129.90756872919016</v>
      </c>
      <c r="Q48">
        <f t="shared" si="7"/>
        <v>30</v>
      </c>
      <c r="R48">
        <f t="shared" si="8"/>
        <v>129</v>
      </c>
    </row>
    <row r="49" spans="1:18" x14ac:dyDescent="0.3">
      <c r="A49" s="2">
        <f t="shared" si="9"/>
        <v>45</v>
      </c>
      <c r="B49" s="2">
        <f t="shared" si="10"/>
        <v>270</v>
      </c>
      <c r="C49" s="2">
        <f t="shared" si="2"/>
        <v>4.7123888999999997</v>
      </c>
      <c r="D49" s="1">
        <f t="shared" si="3"/>
        <v>30.000000000000284</v>
      </c>
      <c r="E49" s="2">
        <f t="shared" si="4"/>
        <v>120.00000723462212</v>
      </c>
      <c r="G49" s="5">
        <v>45</v>
      </c>
      <c r="H49" s="5">
        <v>20.000000000000327</v>
      </c>
      <c r="I49" s="5">
        <v>120.00000803846902</v>
      </c>
      <c r="J49" s="5">
        <f t="shared" si="15"/>
        <v>20</v>
      </c>
      <c r="K49" s="5">
        <f t="shared" si="16"/>
        <v>120</v>
      </c>
      <c r="M49">
        <v>30.000000000000284</v>
      </c>
      <c r="N49">
        <v>120.00000723462212</v>
      </c>
      <c r="O49">
        <f t="shared" si="5"/>
        <v>30.500000000000284</v>
      </c>
      <c r="P49">
        <f t="shared" si="6"/>
        <v>120.50000723462212</v>
      </c>
      <c r="Q49" s="7">
        <f t="shared" si="7"/>
        <v>30</v>
      </c>
      <c r="R49" s="7">
        <f t="shared" si="8"/>
        <v>120</v>
      </c>
    </row>
    <row r="50" spans="1:18" x14ac:dyDescent="0.3">
      <c r="A50" s="1">
        <f t="shared" si="9"/>
        <v>46</v>
      </c>
      <c r="B50" s="1">
        <f t="shared" si="10"/>
        <v>276</v>
      </c>
      <c r="C50" s="1">
        <f t="shared" si="2"/>
        <v>4.8171086533333334</v>
      </c>
      <c r="D50" s="1">
        <f t="shared" si="3"/>
        <v>30.49302864382679</v>
      </c>
      <c r="E50" s="2">
        <f t="shared" si="4"/>
        <v>110.59244566078995</v>
      </c>
      <c r="G50" s="4">
        <v>46</v>
      </c>
      <c r="H50" s="4">
        <v>20.547809604251995</v>
      </c>
      <c r="I50" s="4">
        <v>109.54716184532217</v>
      </c>
      <c r="J50" s="4">
        <f t="shared" si="15"/>
        <v>20</v>
      </c>
      <c r="K50" s="4">
        <f t="shared" si="16"/>
        <v>109</v>
      </c>
      <c r="M50">
        <v>30.49302864382679</v>
      </c>
      <c r="N50">
        <v>110.59244566078995</v>
      </c>
      <c r="O50">
        <f t="shared" si="5"/>
        <v>30.99302864382679</v>
      </c>
      <c r="P50">
        <f t="shared" si="6"/>
        <v>111.09244566078995</v>
      </c>
      <c r="Q50">
        <f t="shared" si="7"/>
        <v>30</v>
      </c>
      <c r="R50">
        <f t="shared" si="8"/>
        <v>111</v>
      </c>
    </row>
    <row r="51" spans="1:18" x14ac:dyDescent="0.3">
      <c r="A51" s="1">
        <f t="shared" si="9"/>
        <v>47</v>
      </c>
      <c r="B51" s="1">
        <f t="shared" si="10"/>
        <v>282</v>
      </c>
      <c r="C51" s="1">
        <f t="shared" si="2"/>
        <v>4.9218284066666671</v>
      </c>
      <c r="D51" s="1">
        <f t="shared" si="3"/>
        <v>31.966714362943634</v>
      </c>
      <c r="E51" s="2">
        <f t="shared" si="4"/>
        <v>101.28795521744229</v>
      </c>
      <c r="G51" s="4">
        <v>47</v>
      </c>
      <c r="H51" s="4">
        <v>22.185238181048476</v>
      </c>
      <c r="I51" s="4">
        <v>99.208839130491441</v>
      </c>
      <c r="J51" s="4">
        <f t="shared" si="15"/>
        <v>22</v>
      </c>
      <c r="K51" s="4">
        <f t="shared" si="16"/>
        <v>99</v>
      </c>
      <c r="M51">
        <v>31.966714362943634</v>
      </c>
      <c r="N51">
        <v>101.28795521744229</v>
      </c>
      <c r="O51">
        <f t="shared" si="5"/>
        <v>32.466714362943634</v>
      </c>
      <c r="P51">
        <f t="shared" si="6"/>
        <v>101.78795521744229</v>
      </c>
      <c r="Q51">
        <f t="shared" si="7"/>
        <v>32</v>
      </c>
      <c r="R51">
        <f t="shared" si="8"/>
        <v>101</v>
      </c>
    </row>
    <row r="52" spans="1:18" x14ac:dyDescent="0.3">
      <c r="A52" s="1">
        <f t="shared" si="9"/>
        <v>48</v>
      </c>
      <c r="B52" s="1">
        <f t="shared" si="10"/>
        <v>288</v>
      </c>
      <c r="C52" s="1">
        <f t="shared" si="2"/>
        <v>5.0265481599999999</v>
      </c>
      <c r="D52" s="1">
        <f t="shared" si="3"/>
        <v>34.404911148773905</v>
      </c>
      <c r="E52" s="2">
        <f t="shared" si="4"/>
        <v>92.188477845491619</v>
      </c>
      <c r="G52" s="4">
        <v>48</v>
      </c>
      <c r="H52" s="4">
        <v>24.894345720859889</v>
      </c>
      <c r="I52" s="4">
        <v>89.098308717212916</v>
      </c>
      <c r="J52" s="4">
        <f t="shared" si="15"/>
        <v>24</v>
      </c>
      <c r="K52" s="4">
        <f t="shared" si="16"/>
        <v>89</v>
      </c>
      <c r="M52">
        <v>34.404911148773905</v>
      </c>
      <c r="N52">
        <v>92.188477845491619</v>
      </c>
      <c r="O52">
        <f t="shared" si="5"/>
        <v>34.904911148773905</v>
      </c>
      <c r="P52">
        <f t="shared" si="6"/>
        <v>92.688477845491619</v>
      </c>
      <c r="Q52">
        <f t="shared" si="7"/>
        <v>34</v>
      </c>
      <c r="R52">
        <f t="shared" si="8"/>
        <v>92</v>
      </c>
    </row>
    <row r="53" spans="1:18" x14ac:dyDescent="0.3">
      <c r="A53" s="1">
        <f t="shared" si="9"/>
        <v>49</v>
      </c>
      <c r="B53" s="1">
        <f t="shared" si="10"/>
        <v>294</v>
      </c>
      <c r="C53" s="1">
        <f t="shared" si="2"/>
        <v>5.1312679133333337</v>
      </c>
      <c r="D53" s="1">
        <f t="shared" si="3"/>
        <v>37.78090560801715</v>
      </c>
      <c r="E53" s="2">
        <f t="shared" si="4"/>
        <v>83.393709319814789</v>
      </c>
      <c r="G53" s="4">
        <v>49</v>
      </c>
      <c r="H53" s="4">
        <v>28.645450675574622</v>
      </c>
      <c r="I53" s="4">
        <v>79.326343688683096</v>
      </c>
      <c r="J53" s="4">
        <f t="shared" si="15"/>
        <v>28</v>
      </c>
      <c r="K53" s="4">
        <f t="shared" si="16"/>
        <v>79</v>
      </c>
      <c r="M53">
        <v>37.78090560801715</v>
      </c>
      <c r="N53">
        <v>83.393709319814789</v>
      </c>
      <c r="O53">
        <f t="shared" si="5"/>
        <v>38.28090560801715</v>
      </c>
      <c r="P53">
        <f t="shared" si="6"/>
        <v>83.893709319814789</v>
      </c>
      <c r="Q53">
        <f t="shared" si="7"/>
        <v>38</v>
      </c>
      <c r="R53">
        <f t="shared" si="8"/>
        <v>83</v>
      </c>
    </row>
    <row r="54" spans="1:18" x14ac:dyDescent="0.3">
      <c r="A54" s="1">
        <f t="shared" si="9"/>
        <v>50</v>
      </c>
      <c r="B54" s="1">
        <f t="shared" si="10"/>
        <v>300</v>
      </c>
      <c r="C54" s="1">
        <f t="shared" si="2"/>
        <v>5.2359876666666674</v>
      </c>
      <c r="D54" s="1">
        <f t="shared" si="3"/>
        <v>42.057709640166365</v>
      </c>
      <c r="E54" s="2">
        <f t="shared" si="4"/>
        <v>75.000006961518466</v>
      </c>
      <c r="G54" s="5">
        <v>50</v>
      </c>
      <c r="H54" s="5">
        <v>33.397455155740417</v>
      </c>
      <c r="I54" s="5">
        <v>70.000007735020517</v>
      </c>
      <c r="J54" s="5">
        <f t="shared" si="15"/>
        <v>33</v>
      </c>
      <c r="K54" s="5">
        <f t="shared" si="16"/>
        <v>70</v>
      </c>
      <c r="M54">
        <v>42.057709640166365</v>
      </c>
      <c r="N54">
        <v>75.000006961518466</v>
      </c>
      <c r="O54">
        <f t="shared" si="5"/>
        <v>42.557709640166365</v>
      </c>
      <c r="P54">
        <f t="shared" si="6"/>
        <v>75.500006961518466</v>
      </c>
      <c r="Q54" s="7">
        <f t="shared" si="7"/>
        <v>42</v>
      </c>
      <c r="R54" s="7">
        <f t="shared" si="8"/>
        <v>75</v>
      </c>
    </row>
    <row r="55" spans="1:18" x14ac:dyDescent="0.3">
      <c r="A55" s="1">
        <f t="shared" si="9"/>
        <v>51</v>
      </c>
      <c r="B55" s="1">
        <f t="shared" si="10"/>
        <v>306</v>
      </c>
      <c r="C55" s="1">
        <f t="shared" si="2"/>
        <v>5.3407074200000002</v>
      </c>
      <c r="D55" s="1">
        <f t="shared" si="3"/>
        <v>47.188465686863651</v>
      </c>
      <c r="E55" s="2">
        <f t="shared" si="4"/>
        <v>67.099333927000799</v>
      </c>
      <c r="G55" s="4">
        <v>51</v>
      </c>
      <c r="H55" s="4">
        <v>39.098295207626279</v>
      </c>
      <c r="I55" s="4">
        <v>61.221482141111998</v>
      </c>
      <c r="J55" s="4">
        <f t="shared" si="15"/>
        <v>39</v>
      </c>
      <c r="K55" s="4">
        <f t="shared" si="16"/>
        <v>61</v>
      </c>
      <c r="M55">
        <v>47.188465686863651</v>
      </c>
      <c r="N55">
        <v>67.099333927000799</v>
      </c>
      <c r="O55">
        <f t="shared" si="5"/>
        <v>47.688465686863651</v>
      </c>
      <c r="P55">
        <f t="shared" si="6"/>
        <v>67.599333927000799</v>
      </c>
      <c r="Q55">
        <f t="shared" si="7"/>
        <v>47</v>
      </c>
      <c r="R55">
        <f t="shared" si="8"/>
        <v>67</v>
      </c>
    </row>
    <row r="56" spans="1:18" x14ac:dyDescent="0.3">
      <c r="A56" s="1">
        <f t="shared" si="9"/>
        <v>52</v>
      </c>
      <c r="B56" s="1">
        <f t="shared" si="10"/>
        <v>312</v>
      </c>
      <c r="C56" s="1">
        <f t="shared" si="2"/>
        <v>5.445427173333333</v>
      </c>
      <c r="D56" s="1">
        <f t="shared" si="3"/>
        <v>53.116960113097733</v>
      </c>
      <c r="E56" s="2">
        <f t="shared" si="4"/>
        <v>59.778251640399539</v>
      </c>
      <c r="G56" s="4">
        <v>52</v>
      </c>
      <c r="H56" s="4">
        <v>45.685511236775255</v>
      </c>
      <c r="I56" s="4">
        <v>53.086946267110591</v>
      </c>
      <c r="J56" s="4">
        <f t="shared" si="15"/>
        <v>45</v>
      </c>
      <c r="K56" s="4">
        <f t="shared" si="16"/>
        <v>53</v>
      </c>
      <c r="M56">
        <v>53.116960113097733</v>
      </c>
      <c r="N56">
        <v>59.778251640399539</v>
      </c>
      <c r="O56">
        <f t="shared" si="5"/>
        <v>53.616960113097733</v>
      </c>
      <c r="P56">
        <f t="shared" si="6"/>
        <v>60.278251640399539</v>
      </c>
      <c r="Q56">
        <f t="shared" si="7"/>
        <v>53</v>
      </c>
      <c r="R56">
        <f t="shared" si="8"/>
        <v>60</v>
      </c>
    </row>
    <row r="57" spans="1:18" x14ac:dyDescent="0.3">
      <c r="A57" s="1">
        <f t="shared" si="9"/>
        <v>53</v>
      </c>
      <c r="B57" s="1">
        <f t="shared" si="10"/>
        <v>318</v>
      </c>
      <c r="C57" s="1">
        <f t="shared" si="2"/>
        <v>5.5501469266666668</v>
      </c>
      <c r="D57" s="1">
        <f t="shared" si="3"/>
        <v>59.77823909553161</v>
      </c>
      <c r="E57" s="2">
        <f t="shared" si="4"/>
        <v>53.116971408547585</v>
      </c>
      <c r="G57" s="4">
        <v>53</v>
      </c>
      <c r="H57" s="4">
        <v>53.086932328368462</v>
      </c>
      <c r="I57" s="4">
        <v>45.685523787275088</v>
      </c>
      <c r="J57" s="4">
        <f t="shared" si="15"/>
        <v>53</v>
      </c>
      <c r="K57" s="4">
        <f t="shared" si="16"/>
        <v>45</v>
      </c>
      <c r="M57">
        <v>59.77823909553161</v>
      </c>
      <c r="N57">
        <v>53.116971408547585</v>
      </c>
      <c r="O57">
        <f t="shared" si="5"/>
        <v>60.27823909553161</v>
      </c>
      <c r="P57">
        <f t="shared" si="6"/>
        <v>53.616971408547585</v>
      </c>
      <c r="Q57">
        <f t="shared" si="7"/>
        <v>60</v>
      </c>
      <c r="R57">
        <f t="shared" si="8"/>
        <v>53</v>
      </c>
    </row>
    <row r="58" spans="1:18" x14ac:dyDescent="0.3">
      <c r="A58" s="1">
        <f t="shared" si="9"/>
        <v>54</v>
      </c>
      <c r="B58" s="1">
        <f t="shared" si="10"/>
        <v>324</v>
      </c>
      <c r="C58" s="1">
        <f t="shared" si="2"/>
        <v>5.6548666800000005</v>
      </c>
      <c r="D58" s="1">
        <f t="shared" si="3"/>
        <v>67.099320270159041</v>
      </c>
      <c r="E58" s="2">
        <f t="shared" si="4"/>
        <v>47.188475609140042</v>
      </c>
      <c r="G58" s="4">
        <v>54</v>
      </c>
      <c r="H58" s="4">
        <v>61.22146696684338</v>
      </c>
      <c r="I58" s="4">
        <v>39.098306232377823</v>
      </c>
      <c r="J58" s="4">
        <f t="shared" si="15"/>
        <v>61</v>
      </c>
      <c r="K58" s="4">
        <f t="shared" si="16"/>
        <v>39</v>
      </c>
      <c r="M58">
        <v>67.099320270159041</v>
      </c>
      <c r="N58">
        <v>47.188475609140042</v>
      </c>
      <c r="O58">
        <f t="shared" si="5"/>
        <v>67.599320270159041</v>
      </c>
      <c r="P58">
        <f t="shared" si="6"/>
        <v>47.688475609140042</v>
      </c>
      <c r="Q58">
        <f t="shared" si="7"/>
        <v>67</v>
      </c>
      <c r="R58">
        <f t="shared" si="8"/>
        <v>47</v>
      </c>
    </row>
    <row r="59" spans="1:18" x14ac:dyDescent="0.3">
      <c r="A59" s="1">
        <f t="shared" si="9"/>
        <v>55</v>
      </c>
      <c r="B59" s="1">
        <f t="shared" si="10"/>
        <v>330</v>
      </c>
      <c r="C59" s="1">
        <f t="shared" si="2"/>
        <v>5.7595864333333342</v>
      </c>
      <c r="D59" s="1">
        <f t="shared" si="3"/>
        <v>74.999992342330103</v>
      </c>
      <c r="E59" s="2">
        <f t="shared" si="4"/>
        <v>42.0577180805588</v>
      </c>
      <c r="G59" s="5">
        <v>55</v>
      </c>
      <c r="H59" s="5">
        <v>69.999991491477886</v>
      </c>
      <c r="I59" s="5">
        <v>33.397464533954235</v>
      </c>
      <c r="J59" s="5">
        <f t="shared" si="15"/>
        <v>69</v>
      </c>
      <c r="K59" s="5">
        <f t="shared" si="16"/>
        <v>33</v>
      </c>
      <c r="M59">
        <v>74.999992342330103</v>
      </c>
      <c r="N59">
        <v>42.0577180805588</v>
      </c>
      <c r="O59">
        <f t="shared" si="5"/>
        <v>75.499992342330103</v>
      </c>
      <c r="P59">
        <f t="shared" si="6"/>
        <v>42.5577180805588</v>
      </c>
      <c r="Q59" s="7">
        <f t="shared" si="7"/>
        <v>75</v>
      </c>
      <c r="R59" s="7">
        <f t="shared" si="8"/>
        <v>42</v>
      </c>
    </row>
    <row r="60" spans="1:18" x14ac:dyDescent="0.3">
      <c r="A60" s="1">
        <f t="shared" si="9"/>
        <v>56</v>
      </c>
      <c r="B60" s="1">
        <f t="shared" si="10"/>
        <v>336</v>
      </c>
      <c r="C60" s="1">
        <f t="shared" si="2"/>
        <v>5.864306186666667</v>
      </c>
      <c r="D60" s="1">
        <f t="shared" si="3"/>
        <v>83.39369389845055</v>
      </c>
      <c r="E60" s="2">
        <f t="shared" si="4"/>
        <v>37.780912474050993</v>
      </c>
      <c r="G60" s="4">
        <v>56</v>
      </c>
      <c r="H60" s="4">
        <v>79.326326553833951</v>
      </c>
      <c r="I60" s="4">
        <v>28.645458304501105</v>
      </c>
      <c r="J60" s="4">
        <f t="shared" si="15"/>
        <v>79</v>
      </c>
      <c r="K60" s="4">
        <f t="shared" si="16"/>
        <v>28</v>
      </c>
      <c r="M60">
        <v>83.39369389845055</v>
      </c>
      <c r="N60">
        <v>37.780912474050993</v>
      </c>
      <c r="O60">
        <f t="shared" si="5"/>
        <v>83.89369389845055</v>
      </c>
      <c r="P60">
        <f t="shared" si="6"/>
        <v>38.280912474050993</v>
      </c>
      <c r="Q60">
        <f t="shared" si="7"/>
        <v>83</v>
      </c>
      <c r="R60">
        <f t="shared" si="8"/>
        <v>38</v>
      </c>
    </row>
    <row r="61" spans="1:18" x14ac:dyDescent="0.3">
      <c r="A61" s="1">
        <f t="shared" si="9"/>
        <v>57</v>
      </c>
      <c r="B61" s="1">
        <f t="shared" si="10"/>
        <v>342</v>
      </c>
      <c r="C61" s="1">
        <f t="shared" si="2"/>
        <v>5.9690259399999999</v>
      </c>
      <c r="D61" s="1">
        <f t="shared" si="3"/>
        <v>92.188461790911191</v>
      </c>
      <c r="E61" s="2">
        <f t="shared" si="4"/>
        <v>34.404916365223443</v>
      </c>
      <c r="G61" s="4">
        <v>57</v>
      </c>
      <c r="H61" s="4">
        <v>89.098290878790209</v>
      </c>
      <c r="I61" s="4">
        <v>24.894351516914938</v>
      </c>
      <c r="J61" s="4">
        <f t="shared" si="15"/>
        <v>89</v>
      </c>
      <c r="K61" s="4">
        <f t="shared" si="16"/>
        <v>24</v>
      </c>
      <c r="M61">
        <v>92.188461790911191</v>
      </c>
      <c r="N61">
        <v>34.404916365223443</v>
      </c>
      <c r="O61">
        <f t="shared" si="5"/>
        <v>92.688461790911191</v>
      </c>
      <c r="P61">
        <f t="shared" si="6"/>
        <v>34.904916365223443</v>
      </c>
      <c r="Q61">
        <f t="shared" si="7"/>
        <v>92</v>
      </c>
      <c r="R61">
        <f t="shared" si="8"/>
        <v>34</v>
      </c>
    </row>
    <row r="62" spans="1:18" x14ac:dyDescent="0.3">
      <c r="A62" s="1">
        <f t="shared" si="9"/>
        <v>58</v>
      </c>
      <c r="B62" s="1">
        <f t="shared" si="10"/>
        <v>348</v>
      </c>
      <c r="C62" s="1">
        <f t="shared" si="2"/>
        <v>6.0737456933333327</v>
      </c>
      <c r="D62" s="1">
        <f t="shared" si="3"/>
        <v>101.28793870554308</v>
      </c>
      <c r="E62" s="2">
        <f t="shared" si="4"/>
        <v>31.966717872656318</v>
      </c>
      <c r="G62" s="4">
        <v>58</v>
      </c>
      <c r="H62" s="4">
        <v>99.208820783936773</v>
      </c>
      <c r="I62" s="4">
        <v>22.185242080729239</v>
      </c>
      <c r="J62" s="4">
        <f t="shared" si="15"/>
        <v>99</v>
      </c>
      <c r="K62" s="4">
        <f t="shared" si="16"/>
        <v>22</v>
      </c>
      <c r="M62">
        <v>101.28793870554308</v>
      </c>
      <c r="N62">
        <v>31.966717872656318</v>
      </c>
      <c r="O62">
        <f t="shared" si="5"/>
        <v>101.78793870554308</v>
      </c>
      <c r="P62">
        <f t="shared" si="6"/>
        <v>32.466717872656318</v>
      </c>
      <c r="Q62">
        <f t="shared" si="7"/>
        <v>101</v>
      </c>
      <c r="R62">
        <f t="shared" si="8"/>
        <v>32</v>
      </c>
    </row>
    <row r="63" spans="1:18" x14ac:dyDescent="0.3">
      <c r="A63" s="1">
        <f t="shared" si="9"/>
        <v>59</v>
      </c>
      <c r="B63" s="1">
        <f t="shared" si="10"/>
        <v>354</v>
      </c>
      <c r="C63" s="1">
        <f t="shared" si="2"/>
        <v>6.1784654466666664</v>
      </c>
      <c r="D63" s="1">
        <f t="shared" si="3"/>
        <v>110.59242887247979</v>
      </c>
      <c r="E63" s="2">
        <f t="shared" si="4"/>
        <v>30.493030408349497</v>
      </c>
      <c r="G63" s="4">
        <v>59</v>
      </c>
      <c r="H63" s="4">
        <v>109.54714319164421</v>
      </c>
      <c r="I63" s="4">
        <v>20.54781156483277</v>
      </c>
      <c r="J63" s="4">
        <f t="shared" si="15"/>
        <v>109</v>
      </c>
      <c r="K63" s="4">
        <f t="shared" si="16"/>
        <v>20</v>
      </c>
      <c r="M63">
        <v>110.59242887247979</v>
      </c>
      <c r="N63">
        <v>30.493030408349497</v>
      </c>
      <c r="O63">
        <f t="shared" si="5"/>
        <v>111.09242887247979</v>
      </c>
      <c r="P63">
        <f t="shared" si="6"/>
        <v>30.993030408349497</v>
      </c>
      <c r="Q63">
        <f t="shared" si="7"/>
        <v>111</v>
      </c>
      <c r="R63">
        <f t="shared" si="8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Cimiy Chan</dc:creator>
  <cp:lastModifiedBy>Cimiy Chan</cp:lastModifiedBy>
  <dcterms:created xsi:type="dcterms:W3CDTF">2025-06-26T03:09:48Z</dcterms:created>
  <dcterms:modified xsi:type="dcterms:W3CDTF">2025-06-26T06:42:06Z</dcterms:modified>
</cp:coreProperties>
</file>